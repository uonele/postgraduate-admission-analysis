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8800" windowHeight="14080"/>
  </bookViews>
  <sheets>
    <sheet name="Sheet1" sheetId="1" r:id="rId1"/>
  </sheets>
  <definedNames>
    <definedName name="_xlnm._FilterDatabase" localSheetId="0" hidden="1">Sheet1!$A$2:$W$69</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8" i="1" l="1"/>
  <c r="S68" i="1" s="1"/>
  <c r="M67" i="1"/>
  <c r="S67" i="1" s="1"/>
  <c r="M66" i="1"/>
  <c r="S66" i="1" s="1"/>
  <c r="M65" i="1"/>
  <c r="S65" i="1" s="1"/>
  <c r="M64" i="1"/>
  <c r="S64" i="1" s="1"/>
  <c r="M63" i="1"/>
  <c r="S63" i="1" s="1"/>
  <c r="M62" i="1"/>
  <c r="S62" i="1" s="1"/>
  <c r="M61" i="1"/>
  <c r="S61" i="1" s="1"/>
  <c r="M60" i="1"/>
  <c r="S60" i="1" s="1"/>
  <c r="M59" i="1"/>
  <c r="S59" i="1" s="1"/>
  <c r="M58" i="1"/>
  <c r="S58" i="1" s="1"/>
  <c r="M57" i="1"/>
  <c r="S57" i="1" s="1"/>
  <c r="M56" i="1"/>
  <c r="S56" i="1" s="1"/>
  <c r="M55" i="1"/>
  <c r="S55" i="1" s="1"/>
  <c r="M54" i="1"/>
  <c r="S54" i="1" s="1"/>
  <c r="M53" i="1"/>
  <c r="S53" i="1" s="1"/>
  <c r="M52" i="1"/>
  <c r="S52" i="1" s="1"/>
  <c r="M51" i="1"/>
  <c r="S51" i="1" s="1"/>
  <c r="M50" i="1"/>
  <c r="S50" i="1" s="1"/>
  <c r="M49" i="1"/>
  <c r="S49" i="1" s="1"/>
  <c r="M48" i="1"/>
  <c r="S48" i="1" s="1"/>
  <c r="M47" i="1"/>
  <c r="S47" i="1" s="1"/>
  <c r="M46" i="1"/>
  <c r="S46" i="1" s="1"/>
  <c r="M45" i="1"/>
  <c r="S45" i="1" s="1"/>
  <c r="M44" i="1"/>
  <c r="S44" i="1" s="1"/>
  <c r="M43" i="1"/>
  <c r="S43" i="1" s="1"/>
  <c r="M42" i="1"/>
  <c r="S42" i="1" s="1"/>
  <c r="M41" i="1"/>
  <c r="S41" i="1" s="1"/>
  <c r="M40" i="1"/>
  <c r="S40" i="1" s="1"/>
  <c r="M39" i="1"/>
  <c r="S39" i="1" s="1"/>
  <c r="S38" i="1"/>
  <c r="M37" i="1"/>
  <c r="S37" i="1" s="1"/>
  <c r="M36" i="1"/>
  <c r="S36" i="1" s="1"/>
  <c r="M35" i="1"/>
  <c r="S35" i="1" s="1"/>
  <c r="M34" i="1"/>
  <c r="S34" i="1" s="1"/>
  <c r="M33" i="1"/>
  <c r="S33" i="1" s="1"/>
  <c r="M32" i="1"/>
  <c r="S32" i="1" s="1"/>
  <c r="M31" i="1"/>
  <c r="S31" i="1" s="1"/>
  <c r="M30" i="1"/>
  <c r="S30" i="1" s="1"/>
  <c r="M29" i="1"/>
  <c r="S29" i="1" s="1"/>
  <c r="M28" i="1"/>
  <c r="S28" i="1" s="1"/>
  <c r="M27" i="1"/>
  <c r="S27" i="1" s="1"/>
  <c r="M26" i="1"/>
  <c r="S26" i="1" s="1"/>
  <c r="M25" i="1"/>
  <c r="S25" i="1" s="1"/>
  <c r="M24" i="1"/>
  <c r="S24" i="1" s="1"/>
  <c r="M23" i="1"/>
  <c r="S23" i="1" s="1"/>
  <c r="M22" i="1"/>
  <c r="S22" i="1" s="1"/>
  <c r="M21" i="1"/>
  <c r="S21" i="1" s="1"/>
  <c r="S20" i="1"/>
  <c r="M19" i="1"/>
  <c r="S19" i="1" s="1"/>
  <c r="M18" i="1"/>
  <c r="S18" i="1" s="1"/>
  <c r="M17" i="1"/>
  <c r="S17" i="1" s="1"/>
  <c r="M16" i="1"/>
  <c r="S16" i="1" s="1"/>
  <c r="M15" i="1"/>
  <c r="S15" i="1" s="1"/>
  <c r="M14" i="1"/>
  <c r="S14" i="1" s="1"/>
  <c r="M13" i="1"/>
  <c r="S13" i="1" s="1"/>
  <c r="M12" i="1"/>
  <c r="S12" i="1" s="1"/>
  <c r="M11" i="1"/>
  <c r="S11" i="1" s="1"/>
  <c r="M10" i="1"/>
  <c r="S10" i="1" s="1"/>
  <c r="M9" i="1"/>
  <c r="S9" i="1" s="1"/>
  <c r="M8" i="1"/>
  <c r="S8" i="1" s="1"/>
  <c r="M7" i="1"/>
  <c r="S7" i="1" s="1"/>
  <c r="M6" i="1"/>
  <c r="S6" i="1" s="1"/>
  <c r="M5" i="1"/>
  <c r="S5" i="1" s="1"/>
  <c r="M4" i="1"/>
  <c r="S4" i="1" s="1"/>
  <c r="M3" i="1"/>
  <c r="S3" i="1" s="1"/>
</calcChain>
</file>

<file path=xl/sharedStrings.xml><?xml version="1.0" encoding="utf-8"?>
<sst xmlns="http://schemas.openxmlformats.org/spreadsheetml/2006/main" count="661" uniqueCount="236">
  <si>
    <t>（学院代码004）信息科学技术学院调剂考生复试成绩及待录取结果（软件工程、人工智能、大数据技术与工程、网络与信息安全）</t>
  </si>
  <si>
    <t>复试编号</t>
  </si>
  <si>
    <t>学院代码</t>
  </si>
  <si>
    <t>学院名称</t>
  </si>
  <si>
    <t>专业  代码</t>
  </si>
  <si>
    <t>专业名称</t>
  </si>
  <si>
    <t>研究方向</t>
  </si>
  <si>
    <t>就业  方式</t>
  </si>
  <si>
    <t>姓名</t>
  </si>
  <si>
    <t>考生编号</t>
  </si>
  <si>
    <t>复试科目</t>
  </si>
  <si>
    <t>综合面试</t>
  </si>
  <si>
    <t>外语能力</t>
  </si>
  <si>
    <t>复试总成绩</t>
  </si>
  <si>
    <t>政治理论初试成绩</t>
  </si>
  <si>
    <t>外国语初试成绩</t>
  </si>
  <si>
    <t>业务课一初试成绩</t>
  </si>
  <si>
    <t>业务课二初试成绩</t>
  </si>
  <si>
    <t>初试总成绩</t>
  </si>
  <si>
    <t>最终总成绩</t>
  </si>
  <si>
    <t>同等学力加试1</t>
  </si>
  <si>
    <t>同等学力加试2</t>
  </si>
  <si>
    <t>备注</t>
  </si>
  <si>
    <t>待录取结果</t>
  </si>
  <si>
    <t>62</t>
  </si>
  <si>
    <t>004</t>
  </si>
  <si>
    <t>信息科学技术学院</t>
  </si>
  <si>
    <t>083500</t>
  </si>
  <si>
    <t>软件工程</t>
  </si>
  <si>
    <t>00</t>
  </si>
  <si>
    <t>非定向</t>
  </si>
  <si>
    <t>张鑫龙</t>
  </si>
  <si>
    <t>100074000006670</t>
  </si>
  <si>
    <t>是</t>
  </si>
  <si>
    <t>65</t>
  </si>
  <si>
    <t>张小若</t>
  </si>
  <si>
    <t>104974400354016</t>
  </si>
  <si>
    <t>63</t>
  </si>
  <si>
    <t>张千</t>
  </si>
  <si>
    <t>101514000001896</t>
  </si>
  <si>
    <t>64</t>
  </si>
  <si>
    <t>岳增云</t>
  </si>
  <si>
    <t>104874000137499</t>
  </si>
  <si>
    <t>否</t>
  </si>
  <si>
    <t>61</t>
  </si>
  <si>
    <t>许佳明</t>
  </si>
  <si>
    <t>100054513011501</t>
  </si>
  <si>
    <t>96</t>
  </si>
  <si>
    <t>085405</t>
  </si>
  <si>
    <t>戴麟蜚</t>
  </si>
  <si>
    <t>103584210009857</t>
  </si>
  <si>
    <t>104</t>
  </si>
  <si>
    <t>过渊</t>
  </si>
  <si>
    <t>103584210011293</t>
  </si>
  <si>
    <t>102</t>
  </si>
  <si>
    <t>汪立宇</t>
  </si>
  <si>
    <t>103584210011036</t>
  </si>
  <si>
    <t>106</t>
  </si>
  <si>
    <t>裴祥龙</t>
  </si>
  <si>
    <t>103584210011702</t>
  </si>
  <si>
    <t>101</t>
  </si>
  <si>
    <t>陈龙武</t>
  </si>
  <si>
    <t>103584210010969</t>
  </si>
  <si>
    <t>103</t>
  </si>
  <si>
    <t>卢海</t>
  </si>
  <si>
    <t>103584210011257</t>
  </si>
  <si>
    <t>105</t>
  </si>
  <si>
    <t>蔡益坤</t>
  </si>
  <si>
    <t>103584210011508</t>
  </si>
  <si>
    <t>108</t>
  </si>
  <si>
    <t>赵晨辉</t>
  </si>
  <si>
    <t>105584725110895</t>
  </si>
  <si>
    <t>107</t>
  </si>
  <si>
    <t>赵鹏杰</t>
  </si>
  <si>
    <t>103584210011883</t>
  </si>
  <si>
    <t>99</t>
  </si>
  <si>
    <t>占善清</t>
  </si>
  <si>
    <t>103584210010430</t>
  </si>
  <si>
    <t>97</t>
  </si>
  <si>
    <t>荣笑映</t>
  </si>
  <si>
    <t>103584210009867</t>
  </si>
  <si>
    <t>98</t>
  </si>
  <si>
    <t>方亮</t>
  </si>
  <si>
    <t>103584210010059</t>
  </si>
  <si>
    <t>100</t>
  </si>
  <si>
    <t>董肖</t>
  </si>
  <si>
    <t>103584210010801</t>
  </si>
  <si>
    <t>146</t>
  </si>
  <si>
    <t>085410</t>
  </si>
  <si>
    <t>人工智能</t>
  </si>
  <si>
    <t>李吉军</t>
  </si>
  <si>
    <t>103584210012327</t>
  </si>
  <si>
    <t>136</t>
  </si>
  <si>
    <t>强鑫龙</t>
  </si>
  <si>
    <t>103584210010543</t>
  </si>
  <si>
    <t>137</t>
  </si>
  <si>
    <t>伍健</t>
  </si>
  <si>
    <t>103584210010738</t>
  </si>
  <si>
    <t>141</t>
  </si>
  <si>
    <t>147</t>
  </si>
  <si>
    <t>李元杰</t>
  </si>
  <si>
    <t>104974400353717</t>
  </si>
  <si>
    <t>132</t>
  </si>
  <si>
    <t>田烜瑜</t>
  </si>
  <si>
    <t>103584210009198</t>
  </si>
  <si>
    <t>133</t>
  </si>
  <si>
    <t>侍宇</t>
  </si>
  <si>
    <t>103584210009824</t>
  </si>
  <si>
    <t>134</t>
  </si>
  <si>
    <t>张子超</t>
  </si>
  <si>
    <t>103584210010281</t>
  </si>
  <si>
    <t>149</t>
  </si>
  <si>
    <t>胡昊喆</t>
  </si>
  <si>
    <t>106734019018506</t>
  </si>
  <si>
    <t>142</t>
  </si>
  <si>
    <t>张昊</t>
  </si>
  <si>
    <t>103584210011586</t>
  </si>
  <si>
    <t>145</t>
  </si>
  <si>
    <t>李启航</t>
  </si>
  <si>
    <t>103584210012045</t>
  </si>
  <si>
    <t>143</t>
  </si>
  <si>
    <t>薛祥鹏</t>
  </si>
  <si>
    <t>103584210011800</t>
  </si>
  <si>
    <t>140</t>
  </si>
  <si>
    <t>夏香龙</t>
  </si>
  <si>
    <t>103584210011373</t>
  </si>
  <si>
    <t>138</t>
  </si>
  <si>
    <t>郑飞鹏</t>
  </si>
  <si>
    <t>103584210011080</t>
  </si>
  <si>
    <t>135</t>
  </si>
  <si>
    <t>汪易</t>
  </si>
  <si>
    <t>103584210010395</t>
  </si>
  <si>
    <t>148</t>
  </si>
  <si>
    <t>陈承业</t>
  </si>
  <si>
    <t>105644000001151</t>
  </si>
  <si>
    <t>139</t>
  </si>
  <si>
    <t>李超杰</t>
  </si>
  <si>
    <t>103584210011300</t>
  </si>
  <si>
    <t>144</t>
  </si>
  <si>
    <t>蒋浩楠</t>
  </si>
  <si>
    <t>103584210011880</t>
  </si>
  <si>
    <t>154</t>
  </si>
  <si>
    <t>085411</t>
  </si>
  <si>
    <t>大数据技术与工程</t>
  </si>
  <si>
    <t>唐昊真</t>
  </si>
  <si>
    <t>101514000003185</t>
  </si>
  <si>
    <t>152</t>
  </si>
  <si>
    <t>高文静</t>
  </si>
  <si>
    <t>101514000002079</t>
  </si>
  <si>
    <t>161</t>
  </si>
  <si>
    <t>郑政群</t>
  </si>
  <si>
    <t>103584210011083</t>
  </si>
  <si>
    <t>155</t>
  </si>
  <si>
    <t>朱宇辉</t>
  </si>
  <si>
    <t>101514000003298</t>
  </si>
  <si>
    <t>162</t>
  </si>
  <si>
    <t>张浩哲</t>
  </si>
  <si>
    <t>103584210011371</t>
  </si>
  <si>
    <t>151</t>
  </si>
  <si>
    <t>高安安</t>
  </si>
  <si>
    <t>101514000001908</t>
  </si>
  <si>
    <t>153</t>
  </si>
  <si>
    <t>曹淑畅</t>
  </si>
  <si>
    <t>101514000002954</t>
  </si>
  <si>
    <t>150</t>
  </si>
  <si>
    <t>王安琦</t>
  </si>
  <si>
    <t>100134166880598</t>
  </si>
  <si>
    <t>163</t>
  </si>
  <si>
    <t>王宇辰</t>
  </si>
  <si>
    <t>104874000136450</t>
  </si>
  <si>
    <t>164</t>
  </si>
  <si>
    <t>莫一凡</t>
  </si>
  <si>
    <t>104974400339766</t>
  </si>
  <si>
    <t>158</t>
  </si>
  <si>
    <t>白泽昕</t>
  </si>
  <si>
    <t>103584210009518</t>
  </si>
  <si>
    <t>159</t>
  </si>
  <si>
    <t>刘天旭</t>
  </si>
  <si>
    <t>103584210009545</t>
  </si>
  <si>
    <t>157</t>
  </si>
  <si>
    <t>丁冠淋</t>
  </si>
  <si>
    <t>103584210000278</t>
  </si>
  <si>
    <t>156</t>
  </si>
  <si>
    <t>章登基</t>
  </si>
  <si>
    <t>102884500011901</t>
  </si>
  <si>
    <t>160</t>
  </si>
  <si>
    <t>余涛</t>
  </si>
  <si>
    <t>103584210010446</t>
  </si>
  <si>
    <t>176</t>
  </si>
  <si>
    <t>085412</t>
  </si>
  <si>
    <t>网络与信息安全</t>
  </si>
  <si>
    <t>168</t>
  </si>
  <si>
    <t>赵恺杰</t>
  </si>
  <si>
    <t>101514000002536</t>
  </si>
  <si>
    <t>169</t>
  </si>
  <si>
    <t>白俊奇</t>
  </si>
  <si>
    <t>101514000003123</t>
  </si>
  <si>
    <t>179</t>
  </si>
  <si>
    <t>薛占鳌</t>
  </si>
  <si>
    <t>104974400339026</t>
  </si>
  <si>
    <t>174</t>
  </si>
  <si>
    <t>175</t>
  </si>
  <si>
    <t>刘洲福</t>
  </si>
  <si>
    <t>103584210010448</t>
  </si>
  <si>
    <t>177</t>
  </si>
  <si>
    <t>刘昱甫</t>
  </si>
  <si>
    <t>103584210012209</t>
  </si>
  <si>
    <t>178</t>
  </si>
  <si>
    <t>白宇航</t>
  </si>
  <si>
    <t>104234210714129</t>
  </si>
  <si>
    <t>166</t>
  </si>
  <si>
    <t>王冠朝</t>
  </si>
  <si>
    <t>101514000001871</t>
  </si>
  <si>
    <t>172</t>
  </si>
  <si>
    <t>侯鑫</t>
  </si>
  <si>
    <t>102884500013603</t>
  </si>
  <si>
    <t>165</t>
  </si>
  <si>
    <t>李彬</t>
  </si>
  <si>
    <t>101514000001794</t>
  </si>
  <si>
    <t>173</t>
  </si>
  <si>
    <t>王书浩</t>
  </si>
  <si>
    <t>102904211714092</t>
  </si>
  <si>
    <t>167</t>
  </si>
  <si>
    <t>吕广铭</t>
  </si>
  <si>
    <t>101514000002399</t>
  </si>
  <si>
    <t>171</t>
  </si>
  <si>
    <t>吴政达</t>
  </si>
  <si>
    <t>102884500013576</t>
  </si>
  <si>
    <t>170</t>
  </si>
  <si>
    <t>张家城</t>
  </si>
  <si>
    <t>102884500013307</t>
  </si>
  <si>
    <t xml:space="preserve">注：1.表中“待录取结果”中包含“是”、“否”和空白内容。“是”表示考生已被待录取；“否”表示考生复试总成绩或综合考核成绩或同等学力考生加试成绩未达到学校成绩合格标准等情况，不能被待录取；“空白”表示考生的总成绩排名在分专业招生计划以外，未获得待录取资格，如已被待录取的考生放弃待录取资格或已被其他志愿待录取等空出计划名额时，学校将按照总成绩排名依次候补待录取。                                                                                                   
2.学校如发现公布的考生信息或结果有问题，将及时更正，并联系相关考生。                                                                                                                                                     3.学校2024年硕士研究生招生复试工作全部完成后，将统一公示拟录取结果。                                                                                                                                                   </t>
  </si>
  <si>
    <t>放弃</t>
    <phoneticPr fontId="11" type="noConversion"/>
  </si>
  <si>
    <t>是</t>
    <phoneticPr fontId="11" type="noConversion"/>
  </si>
  <si>
    <t>放弃</t>
    <phoneticPr fontId="11" type="noConversion"/>
  </si>
  <si>
    <t>是</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</si>
</sst>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_);[Red]\(0.0\)"/>
    <numFmt numFmtId="177" formatCode="0.0_ "/>
    <numFmt numFmtId="178" formatCode="0_);[Red]\(0\)"/>
  </numFmts>
  <fonts count="13" x14ac:knownFonts="1">
    <font>
      <sz val="11"/>
      <color theme="1"/>
      <name val="宋体"/>
      <charset val="134"/>
      <scheme val="minor"/>
    </font>
    <font>
      <sz val="9"/>
      <color theme="1"/>
      <name val="宋体"/>
      <charset val="134"/>
      <scheme val="minor"/>
    </font>
    <font>
      <sz val="10"/>
      <name val="Arial"/>
      <family val="2"/>
    </font>
    <font>
      <sz val="14"/>
      <name val="黑体"/>
      <charset val="134"/>
    </font>
    <font>
      <sz val="9"/>
      <name val="仿宋"/>
      <charset val="134"/>
    </font>
    <font>
      <sz val="9"/>
      <color rgb="FFFF0000"/>
      <name val="宋体"/>
      <charset val="134"/>
      <scheme val="minor"/>
    </font>
    <font>
      <sz val="9"/>
      <name val="Arial"/>
      <family val="2"/>
    </font>
    <font>
      <sz val="9"/>
      <name val="宋体"/>
      <charset val="134"/>
    </font>
    <font>
      <sz val="9"/>
      <color rgb="FFFF0000"/>
      <name val="Arial"/>
      <family val="2"/>
    </font>
    <font>
      <sz val="9"/>
      <color rgb="FFFF0000"/>
      <name val="宋体"/>
      <charset val="134"/>
    </font>
    <font>
      <sz val="10"/>
      <color rgb="FFFF0000"/>
      <name val="宋体"/>
      <charset val="134"/>
    </font>
    <font>
      <sz val="9"/>
      <name val="宋体"/>
      <charset val="134"/>
      <scheme val="minor"/>
    </font>
    <font>
      <sz val="9"/>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2" fillId="0" borderId="0"/>
  </cellStyleXfs>
  <cellXfs count="29">
    <xf numFmtId="0" fontId="0" fillId="0" borderId="0" xfId="0">
      <alignment vertical="center"/>
    </xf>
    <xf numFmtId="0" fontId="1" fillId="0" borderId="0" xfId="0" applyFont="1" applyFill="1" applyAlignment="1">
      <alignment horizontal="center" vertical="center"/>
    </xf>
    <xf numFmtId="0" fontId="1" fillId="0" borderId="0" xfId="0" applyFont="1" applyFill="1" applyAlignment="1">
      <alignment horizontal="center" vertical="center" wrapText="1"/>
    </xf>
    <xf numFmtId="0" fontId="0" fillId="0" borderId="0" xfId="0" applyFill="1">
      <alignment vertical="center"/>
    </xf>
    <xf numFmtId="0" fontId="2" fillId="0" borderId="0" xfId="0" applyFont="1" applyFill="1" applyAlignment="1">
      <alignment horizontal="center" vertical="center" wrapText="1"/>
    </xf>
    <xf numFmtId="49" fontId="2" fillId="0" borderId="0" xfId="0" applyNumberFormat="1" applyFont="1" applyFill="1" applyAlignment="1">
      <alignment horizontal="center" vertical="center" wrapText="1"/>
    </xf>
    <xf numFmtId="176" fontId="2" fillId="0" borderId="0" xfId="0" applyNumberFormat="1" applyFont="1" applyFill="1" applyAlignment="1">
      <alignment horizontal="center" vertical="center" wrapText="1"/>
    </xf>
    <xf numFmtId="177" fontId="2" fillId="0" borderId="0" xfId="0" applyNumberFormat="1" applyFont="1" applyFill="1" applyAlignment="1">
      <alignment horizontal="center" vertical="center" wrapText="1"/>
    </xf>
    <xf numFmtId="178" fontId="2" fillId="0" borderId="0" xfId="0" applyNumberFormat="1" applyFont="1" applyFill="1" applyAlignment="1">
      <alignment horizontal="center" vertical="center" wrapText="1"/>
    </xf>
    <xf numFmtId="0" fontId="4" fillId="0" borderId="1" xfId="0" applyFont="1" applyFill="1" applyBorder="1" applyAlignment="1">
      <alignment horizontal="center" vertical="center" wrapText="1"/>
    </xf>
    <xf numFmtId="49" fontId="1" fillId="0"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176" fontId="4" fillId="0" borderId="1" xfId="0" applyNumberFormat="1" applyFont="1" applyFill="1" applyBorder="1" applyAlignment="1">
      <alignment horizontal="center" vertical="center" wrapText="1"/>
    </xf>
    <xf numFmtId="176" fontId="1" fillId="0" borderId="1" xfId="0" applyNumberFormat="1" applyFont="1" applyFill="1" applyBorder="1" applyAlignment="1">
      <alignment horizontal="center" vertical="center" wrapText="1"/>
    </xf>
    <xf numFmtId="176" fontId="5"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178" fontId="4" fillId="0" borderId="1" xfId="0" applyNumberFormat="1" applyFont="1" applyFill="1" applyBorder="1" applyAlignment="1">
      <alignment horizontal="center" vertical="center" wrapText="1"/>
    </xf>
    <xf numFmtId="177" fontId="4" fillId="0" borderId="1" xfId="0" applyNumberFormat="1" applyFont="1" applyFill="1" applyBorder="1" applyAlignment="1">
      <alignment horizontal="center" vertical="center" wrapText="1"/>
    </xf>
    <xf numFmtId="176" fontId="6" fillId="0" borderId="1" xfId="0" applyNumberFormat="1" applyFont="1" applyFill="1" applyBorder="1" applyAlignment="1">
      <alignment horizontal="center" vertical="center" wrapText="1"/>
    </xf>
    <xf numFmtId="177" fontId="6" fillId="0" borderId="1" xfId="0" applyNumberFormat="1" applyFont="1" applyFill="1" applyBorder="1" applyAlignment="1">
      <alignment horizontal="center" vertical="center" wrapText="1"/>
    </xf>
    <xf numFmtId="177" fontId="7" fillId="0" borderId="1" xfId="0" applyNumberFormat="1" applyFont="1" applyFill="1" applyBorder="1" applyAlignment="1">
      <alignment horizontal="center" vertical="center" wrapText="1"/>
    </xf>
    <xf numFmtId="176" fontId="8" fillId="0" borderId="1" xfId="0" applyNumberFormat="1" applyFont="1" applyFill="1" applyBorder="1" applyAlignment="1">
      <alignment horizontal="center" vertical="center" wrapText="1"/>
    </xf>
    <xf numFmtId="177" fontId="8" fillId="0" borderId="1" xfId="0" applyNumberFormat="1" applyFont="1" applyFill="1" applyBorder="1" applyAlignment="1">
      <alignment horizontal="center" vertical="center" wrapText="1"/>
    </xf>
    <xf numFmtId="177" fontId="9" fillId="0" borderId="1" xfId="0" applyNumberFormat="1" applyFont="1" applyFill="1" applyBorder="1" applyAlignment="1">
      <alignment horizontal="center" vertical="center" wrapText="1"/>
    </xf>
    <xf numFmtId="177" fontId="12" fillId="0" borderId="1" xfId="0" applyNumberFormat="1" applyFont="1" applyFill="1" applyBorder="1" applyAlignment="1">
      <alignment horizontal="center" vertical="center" wrapText="1"/>
    </xf>
    <xf numFmtId="0" fontId="3" fillId="0" borderId="0" xfId="0" applyFont="1" applyFill="1" applyBorder="1" applyAlignment="1">
      <alignment horizontal="center" vertical="center" wrapText="1"/>
    </xf>
    <xf numFmtId="0" fontId="10" fillId="0" borderId="1" xfId="0" applyFont="1" applyFill="1" applyBorder="1" applyAlignment="1">
      <alignment horizontal="left" vertical="center" wrapText="1"/>
    </xf>
    <xf numFmtId="0" fontId="0" fillId="0" borderId="1" xfId="0" applyFill="1" applyBorder="1" applyAlignment="1">
      <alignment horizontal="left" vertical="center"/>
    </xf>
  </cellXfs>
  <cellStyles count="2">
    <cellStyle name="常规"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69"/>
  <sheetViews>
    <sheetView tabSelected="1" view="pageBreakPreview" zoomScale="85" zoomScaleNormal="100" zoomScaleSheetLayoutView="85" workbookViewId="0">
      <pane ySplit="2" topLeftCell="A61" activePane="bottomLeft" state="frozen"/>
      <selection pane="bottomLeft" activeCell="A54" sqref="A54:XFD58"/>
    </sheetView>
  </sheetViews>
  <sheetFormatPr defaultColWidth="9" defaultRowHeight="14" x14ac:dyDescent="0.25"/>
  <cols>
    <col min="1" max="1" width="5.08984375" style="3" customWidth="1"/>
    <col min="2" max="2" width="4.7265625" style="3" customWidth="1"/>
    <col min="3" max="3" width="15" style="3" customWidth="1"/>
    <col min="4" max="4" width="6.08984375" style="4" customWidth="1"/>
    <col min="5" max="5" width="16.453125" style="4" customWidth="1"/>
    <col min="6" max="6" width="4.6328125" style="4" customWidth="1"/>
    <col min="7" max="7" width="5.7265625" style="4" customWidth="1"/>
    <col min="8" max="8" width="6.26953125" style="4" customWidth="1"/>
    <col min="9" max="9" width="14" style="5" customWidth="1"/>
    <col min="10" max="10" width="5.6328125" style="6" customWidth="1"/>
    <col min="11" max="11" width="5.453125" style="6" customWidth="1"/>
    <col min="12" max="12" width="5.26953125" style="6" customWidth="1"/>
    <col min="13" max="13" width="6" style="6" customWidth="1"/>
    <col min="14" max="14" width="5.08984375" style="7" customWidth="1"/>
    <col min="15" max="17" width="5" style="6"/>
    <col min="18" max="18" width="5.36328125" style="8" customWidth="1"/>
    <col min="19" max="19" width="6.08984375" style="6" customWidth="1"/>
    <col min="20" max="20" width="4.453125" style="6" customWidth="1"/>
    <col min="21" max="21" width="5" style="6" customWidth="1"/>
    <col min="22" max="22" width="9.36328125" style="7" customWidth="1"/>
    <col min="23" max="23" width="7.6328125" style="7" customWidth="1"/>
    <col min="24" max="16384" width="9" style="3"/>
  </cols>
  <sheetData>
    <row r="1" spans="1:23" ht="43" customHeight="1" x14ac:dyDescent="0.25">
      <c r="A1" s="26" t="s">
        <v>0</v>
      </c>
      <c r="B1" s="26"/>
      <c r="C1" s="26"/>
      <c r="D1" s="26"/>
      <c r="E1" s="26"/>
      <c r="F1" s="26"/>
      <c r="G1" s="26"/>
      <c r="H1" s="26"/>
      <c r="I1" s="26"/>
      <c r="J1" s="26"/>
      <c r="K1" s="26"/>
      <c r="L1" s="26"/>
      <c r="M1" s="26"/>
      <c r="N1" s="26"/>
      <c r="O1" s="26"/>
      <c r="P1" s="26"/>
      <c r="Q1" s="26"/>
      <c r="R1" s="26"/>
      <c r="S1" s="26"/>
      <c r="T1" s="26"/>
      <c r="U1" s="26"/>
      <c r="V1" s="26"/>
      <c r="W1" s="26"/>
    </row>
    <row r="2" spans="1:23" s="1" customFormat="1" ht="48" x14ac:dyDescent="0.25">
      <c r="A2" s="9" t="s">
        <v>1</v>
      </c>
      <c r="B2" s="9" t="s">
        <v>2</v>
      </c>
      <c r="C2" s="9" t="s">
        <v>3</v>
      </c>
      <c r="D2" s="9" t="s">
        <v>4</v>
      </c>
      <c r="E2" s="9" t="s">
        <v>5</v>
      </c>
      <c r="F2" s="9" t="s">
        <v>6</v>
      </c>
      <c r="G2" s="9" t="s">
        <v>7</v>
      </c>
      <c r="H2" s="9" t="s">
        <v>8</v>
      </c>
      <c r="I2" s="12" t="s">
        <v>9</v>
      </c>
      <c r="J2" s="13" t="s">
        <v>10</v>
      </c>
      <c r="K2" s="13" t="s">
        <v>11</v>
      </c>
      <c r="L2" s="13" t="s">
        <v>12</v>
      </c>
      <c r="M2" s="13" t="s">
        <v>13</v>
      </c>
      <c r="N2" s="13" t="s">
        <v>14</v>
      </c>
      <c r="O2" s="13" t="s">
        <v>15</v>
      </c>
      <c r="P2" s="13" t="s">
        <v>16</v>
      </c>
      <c r="Q2" s="13" t="s">
        <v>17</v>
      </c>
      <c r="R2" s="17" t="s">
        <v>18</v>
      </c>
      <c r="S2" s="13" t="s">
        <v>19</v>
      </c>
      <c r="T2" s="13" t="s">
        <v>20</v>
      </c>
      <c r="U2" s="13" t="s">
        <v>21</v>
      </c>
      <c r="V2" s="18" t="s">
        <v>22</v>
      </c>
      <c r="W2" s="18" t="s">
        <v>23</v>
      </c>
    </row>
    <row r="3" spans="1:23" s="2" customFormat="1" ht="30" customHeight="1" x14ac:dyDescent="0.25">
      <c r="A3" s="10" t="s">
        <v>24</v>
      </c>
      <c r="B3" s="11" t="s">
        <v>25</v>
      </c>
      <c r="C3" s="11" t="s">
        <v>26</v>
      </c>
      <c r="D3" s="11" t="s">
        <v>27</v>
      </c>
      <c r="E3" s="11" t="s">
        <v>28</v>
      </c>
      <c r="F3" s="11" t="s">
        <v>29</v>
      </c>
      <c r="G3" s="11" t="s">
        <v>30</v>
      </c>
      <c r="H3" s="11" t="s">
        <v>31</v>
      </c>
      <c r="I3" s="11" t="s">
        <v>32</v>
      </c>
      <c r="J3" s="14">
        <v>90.6</v>
      </c>
      <c r="K3" s="14">
        <v>88.4</v>
      </c>
      <c r="L3" s="14">
        <v>24.4</v>
      </c>
      <c r="M3" s="14">
        <f t="shared" ref="M3:M19" si="0">SUM(J3:L3)</f>
        <v>203.4</v>
      </c>
      <c r="N3" s="11">
        <v>62</v>
      </c>
      <c r="O3" s="11">
        <v>71</v>
      </c>
      <c r="P3" s="11">
        <v>93</v>
      </c>
      <c r="Q3" s="11">
        <v>103</v>
      </c>
      <c r="R3" s="11">
        <v>329</v>
      </c>
      <c r="S3" s="19">
        <f t="shared" ref="S3:S34" si="1">M3+R3</f>
        <v>532.4</v>
      </c>
      <c r="T3" s="19"/>
      <c r="U3" s="19"/>
      <c r="V3" s="20"/>
      <c r="W3" s="21" t="s">
        <v>33</v>
      </c>
    </row>
    <row r="4" spans="1:23" s="2" customFormat="1" ht="30" customHeight="1" x14ac:dyDescent="0.25">
      <c r="A4" s="10" t="s">
        <v>34</v>
      </c>
      <c r="B4" s="11" t="s">
        <v>25</v>
      </c>
      <c r="C4" s="11" t="s">
        <v>26</v>
      </c>
      <c r="D4" s="11" t="s">
        <v>27</v>
      </c>
      <c r="E4" s="11" t="s">
        <v>28</v>
      </c>
      <c r="F4" s="11" t="s">
        <v>29</v>
      </c>
      <c r="G4" s="11" t="s">
        <v>30</v>
      </c>
      <c r="H4" s="11" t="s">
        <v>35</v>
      </c>
      <c r="I4" s="11" t="s">
        <v>36</v>
      </c>
      <c r="J4" s="14">
        <v>68</v>
      </c>
      <c r="K4" s="14">
        <v>83</v>
      </c>
      <c r="L4" s="14">
        <v>24.4</v>
      </c>
      <c r="M4" s="14">
        <f t="shared" si="0"/>
        <v>175.4</v>
      </c>
      <c r="N4" s="11">
        <v>73</v>
      </c>
      <c r="O4" s="11">
        <v>81</v>
      </c>
      <c r="P4" s="11">
        <v>89</v>
      </c>
      <c r="Q4" s="11">
        <v>96</v>
      </c>
      <c r="R4" s="11">
        <v>339</v>
      </c>
      <c r="S4" s="19">
        <f t="shared" si="1"/>
        <v>514.4</v>
      </c>
      <c r="T4" s="19"/>
      <c r="U4" s="19"/>
      <c r="V4" s="20"/>
      <c r="W4" s="21" t="s">
        <v>33</v>
      </c>
    </row>
    <row r="5" spans="1:23" s="2" customFormat="1" ht="30" customHeight="1" x14ac:dyDescent="0.25">
      <c r="A5" s="10" t="s">
        <v>37</v>
      </c>
      <c r="B5" s="11" t="s">
        <v>25</v>
      </c>
      <c r="C5" s="11" t="s">
        <v>26</v>
      </c>
      <c r="D5" s="11" t="s">
        <v>27</v>
      </c>
      <c r="E5" s="11" t="s">
        <v>28</v>
      </c>
      <c r="F5" s="11" t="s">
        <v>29</v>
      </c>
      <c r="G5" s="11" t="s">
        <v>30</v>
      </c>
      <c r="H5" s="11" t="s">
        <v>38</v>
      </c>
      <c r="I5" s="11" t="s">
        <v>39</v>
      </c>
      <c r="J5" s="14">
        <v>76.8</v>
      </c>
      <c r="K5" s="14">
        <v>78.2</v>
      </c>
      <c r="L5" s="14">
        <v>23.2</v>
      </c>
      <c r="M5" s="14">
        <f t="shared" si="0"/>
        <v>178.2</v>
      </c>
      <c r="N5" s="11">
        <v>71</v>
      </c>
      <c r="O5" s="11">
        <v>73</v>
      </c>
      <c r="P5" s="11">
        <v>97</v>
      </c>
      <c r="Q5" s="11">
        <v>92</v>
      </c>
      <c r="R5" s="11">
        <v>333</v>
      </c>
      <c r="S5" s="19">
        <f t="shared" si="1"/>
        <v>511.2</v>
      </c>
      <c r="T5" s="19"/>
      <c r="U5" s="19"/>
      <c r="V5" s="20"/>
      <c r="W5" s="21"/>
    </row>
    <row r="6" spans="1:23" s="2" customFormat="1" ht="30" customHeight="1" x14ac:dyDescent="0.25">
      <c r="A6" s="10" t="s">
        <v>40</v>
      </c>
      <c r="B6" s="11" t="s">
        <v>25</v>
      </c>
      <c r="C6" s="11" t="s">
        <v>26</v>
      </c>
      <c r="D6" s="11" t="s">
        <v>27</v>
      </c>
      <c r="E6" s="11" t="s">
        <v>28</v>
      </c>
      <c r="F6" s="11" t="s">
        <v>29</v>
      </c>
      <c r="G6" s="11" t="s">
        <v>30</v>
      </c>
      <c r="H6" s="11" t="s">
        <v>41</v>
      </c>
      <c r="I6" s="11" t="s">
        <v>42</v>
      </c>
      <c r="J6" s="15">
        <v>38.200000000000003</v>
      </c>
      <c r="K6" s="15">
        <v>68.2</v>
      </c>
      <c r="L6" s="15">
        <v>23.2</v>
      </c>
      <c r="M6" s="15">
        <f t="shared" si="0"/>
        <v>129.6</v>
      </c>
      <c r="N6" s="16">
        <v>67</v>
      </c>
      <c r="O6" s="16">
        <v>69</v>
      </c>
      <c r="P6" s="16">
        <v>104</v>
      </c>
      <c r="Q6" s="16">
        <v>112</v>
      </c>
      <c r="R6" s="16">
        <v>352</v>
      </c>
      <c r="S6" s="22">
        <f t="shared" si="1"/>
        <v>481.6</v>
      </c>
      <c r="T6" s="19"/>
      <c r="U6" s="22"/>
      <c r="V6" s="23"/>
      <c r="W6" s="24" t="s">
        <v>43</v>
      </c>
    </row>
    <row r="7" spans="1:23" s="2" customFormat="1" ht="30" customHeight="1" x14ac:dyDescent="0.25">
      <c r="A7" s="10" t="s">
        <v>44</v>
      </c>
      <c r="B7" s="11" t="s">
        <v>25</v>
      </c>
      <c r="C7" s="11" t="s">
        <v>26</v>
      </c>
      <c r="D7" s="11" t="s">
        <v>27</v>
      </c>
      <c r="E7" s="11" t="s">
        <v>28</v>
      </c>
      <c r="F7" s="11" t="s">
        <v>29</v>
      </c>
      <c r="G7" s="11" t="s">
        <v>30</v>
      </c>
      <c r="H7" s="11" t="s">
        <v>45</v>
      </c>
      <c r="I7" s="11" t="s">
        <v>46</v>
      </c>
      <c r="J7" s="15">
        <v>23.2</v>
      </c>
      <c r="K7" s="15">
        <v>75.8</v>
      </c>
      <c r="L7" s="15">
        <v>22.4</v>
      </c>
      <c r="M7" s="15">
        <f t="shared" si="0"/>
        <v>121.4</v>
      </c>
      <c r="N7" s="16">
        <v>62</v>
      </c>
      <c r="O7" s="16">
        <v>72</v>
      </c>
      <c r="P7" s="16">
        <v>94</v>
      </c>
      <c r="Q7" s="16">
        <v>99</v>
      </c>
      <c r="R7" s="16">
        <v>327</v>
      </c>
      <c r="S7" s="22">
        <f t="shared" si="1"/>
        <v>448.4</v>
      </c>
      <c r="T7" s="19"/>
      <c r="U7" s="22"/>
      <c r="V7" s="23"/>
      <c r="W7" s="24" t="s">
        <v>43</v>
      </c>
    </row>
    <row r="8" spans="1:23" s="2" customFormat="1" ht="30" customHeight="1" x14ac:dyDescent="0.25">
      <c r="A8" s="10" t="s">
        <v>47</v>
      </c>
      <c r="B8" s="11" t="s">
        <v>25</v>
      </c>
      <c r="C8" s="11" t="s">
        <v>26</v>
      </c>
      <c r="D8" s="11" t="s">
        <v>48</v>
      </c>
      <c r="E8" s="11" t="s">
        <v>28</v>
      </c>
      <c r="F8" s="11" t="s">
        <v>29</v>
      </c>
      <c r="G8" s="11" t="s">
        <v>30</v>
      </c>
      <c r="H8" s="11" t="s">
        <v>49</v>
      </c>
      <c r="I8" s="11" t="s">
        <v>50</v>
      </c>
      <c r="J8" s="14">
        <v>79.400000000000006</v>
      </c>
      <c r="K8" s="14">
        <v>81.2</v>
      </c>
      <c r="L8" s="14">
        <v>25</v>
      </c>
      <c r="M8" s="14">
        <f t="shared" si="0"/>
        <v>185.60000000000002</v>
      </c>
      <c r="N8" s="11">
        <v>66</v>
      </c>
      <c r="O8" s="11">
        <v>84</v>
      </c>
      <c r="P8" s="11">
        <v>112</v>
      </c>
      <c r="Q8" s="11">
        <v>118</v>
      </c>
      <c r="R8" s="11">
        <v>380</v>
      </c>
      <c r="S8" s="19">
        <f t="shared" si="1"/>
        <v>565.6</v>
      </c>
      <c r="T8" s="19"/>
      <c r="U8" s="19"/>
      <c r="V8" s="20"/>
      <c r="W8" s="21" t="s">
        <v>33</v>
      </c>
    </row>
    <row r="9" spans="1:23" s="2" customFormat="1" ht="30" customHeight="1" x14ac:dyDescent="0.25">
      <c r="A9" s="10" t="s">
        <v>51</v>
      </c>
      <c r="B9" s="11" t="s">
        <v>25</v>
      </c>
      <c r="C9" s="11" t="s">
        <v>26</v>
      </c>
      <c r="D9" s="11" t="s">
        <v>48</v>
      </c>
      <c r="E9" s="11" t="s">
        <v>28</v>
      </c>
      <c r="F9" s="11" t="s">
        <v>29</v>
      </c>
      <c r="G9" s="11" t="s">
        <v>30</v>
      </c>
      <c r="H9" s="11" t="s">
        <v>52</v>
      </c>
      <c r="I9" s="11" t="s">
        <v>53</v>
      </c>
      <c r="J9" s="14">
        <v>67</v>
      </c>
      <c r="K9" s="14">
        <v>86.4</v>
      </c>
      <c r="L9" s="14">
        <v>23.2</v>
      </c>
      <c r="M9" s="14">
        <f t="shared" si="0"/>
        <v>176.6</v>
      </c>
      <c r="N9" s="11">
        <v>63</v>
      </c>
      <c r="O9" s="11">
        <v>71</v>
      </c>
      <c r="P9" s="11">
        <v>124</v>
      </c>
      <c r="Q9" s="11">
        <v>114</v>
      </c>
      <c r="R9" s="11">
        <v>372</v>
      </c>
      <c r="S9" s="19">
        <f t="shared" si="1"/>
        <v>548.6</v>
      </c>
      <c r="T9" s="19"/>
      <c r="U9" s="19"/>
      <c r="V9" s="20"/>
      <c r="W9" s="21" t="s">
        <v>33</v>
      </c>
    </row>
    <row r="10" spans="1:23" s="2" customFormat="1" ht="30" customHeight="1" x14ac:dyDescent="0.25">
      <c r="A10" s="10" t="s">
        <v>54</v>
      </c>
      <c r="B10" s="11" t="s">
        <v>25</v>
      </c>
      <c r="C10" s="11" t="s">
        <v>26</v>
      </c>
      <c r="D10" s="11" t="s">
        <v>48</v>
      </c>
      <c r="E10" s="11" t="s">
        <v>28</v>
      </c>
      <c r="F10" s="11" t="s">
        <v>29</v>
      </c>
      <c r="G10" s="11" t="s">
        <v>30</v>
      </c>
      <c r="H10" s="11" t="s">
        <v>55</v>
      </c>
      <c r="I10" s="11" t="s">
        <v>56</v>
      </c>
      <c r="J10" s="14">
        <v>69.8</v>
      </c>
      <c r="K10" s="14">
        <v>86.4</v>
      </c>
      <c r="L10" s="14">
        <v>25</v>
      </c>
      <c r="M10" s="14">
        <f t="shared" si="0"/>
        <v>181.2</v>
      </c>
      <c r="N10" s="11">
        <v>69</v>
      </c>
      <c r="O10" s="11">
        <v>71</v>
      </c>
      <c r="P10" s="11">
        <v>121</v>
      </c>
      <c r="Q10" s="11">
        <v>106</v>
      </c>
      <c r="R10" s="11">
        <v>367</v>
      </c>
      <c r="S10" s="19">
        <f t="shared" si="1"/>
        <v>548.20000000000005</v>
      </c>
      <c r="T10" s="19"/>
      <c r="U10" s="19"/>
      <c r="V10" s="20"/>
      <c r="W10" s="21" t="s">
        <v>33</v>
      </c>
    </row>
    <row r="11" spans="1:23" s="2" customFormat="1" ht="30" customHeight="1" x14ac:dyDescent="0.25">
      <c r="A11" s="10" t="s">
        <v>57</v>
      </c>
      <c r="B11" s="11" t="s">
        <v>25</v>
      </c>
      <c r="C11" s="11" t="s">
        <v>26</v>
      </c>
      <c r="D11" s="11" t="s">
        <v>48</v>
      </c>
      <c r="E11" s="11" t="s">
        <v>28</v>
      </c>
      <c r="F11" s="11" t="s">
        <v>29</v>
      </c>
      <c r="G11" s="11" t="s">
        <v>30</v>
      </c>
      <c r="H11" s="11" t="s">
        <v>58</v>
      </c>
      <c r="I11" s="11" t="s">
        <v>59</v>
      </c>
      <c r="J11" s="14">
        <v>59.4</v>
      </c>
      <c r="K11" s="14">
        <v>84</v>
      </c>
      <c r="L11" s="14">
        <v>23.4</v>
      </c>
      <c r="M11" s="14">
        <f t="shared" si="0"/>
        <v>166.8</v>
      </c>
      <c r="N11" s="11">
        <v>77</v>
      </c>
      <c r="O11" s="11">
        <v>91</v>
      </c>
      <c r="P11" s="11">
        <v>96</v>
      </c>
      <c r="Q11" s="11">
        <v>110</v>
      </c>
      <c r="R11" s="11">
        <v>374</v>
      </c>
      <c r="S11" s="19">
        <f t="shared" si="1"/>
        <v>540.79999999999995</v>
      </c>
      <c r="T11" s="19"/>
      <c r="U11" s="19"/>
      <c r="V11" s="20"/>
      <c r="W11" s="21" t="s">
        <v>234</v>
      </c>
    </row>
    <row r="12" spans="1:23" s="2" customFormat="1" ht="30" customHeight="1" x14ac:dyDescent="0.25">
      <c r="A12" s="10" t="s">
        <v>60</v>
      </c>
      <c r="B12" s="11" t="s">
        <v>25</v>
      </c>
      <c r="C12" s="11" t="s">
        <v>26</v>
      </c>
      <c r="D12" s="11" t="s">
        <v>48</v>
      </c>
      <c r="E12" s="11" t="s">
        <v>28</v>
      </c>
      <c r="F12" s="11" t="s">
        <v>29</v>
      </c>
      <c r="G12" s="11" t="s">
        <v>30</v>
      </c>
      <c r="H12" s="11" t="s">
        <v>61</v>
      </c>
      <c r="I12" s="11" t="s">
        <v>62</v>
      </c>
      <c r="J12" s="14">
        <v>69.2</v>
      </c>
      <c r="K12" s="14">
        <v>78.599999999999994</v>
      </c>
      <c r="L12" s="14">
        <v>22.2</v>
      </c>
      <c r="M12" s="14">
        <f t="shared" si="0"/>
        <v>170</v>
      </c>
      <c r="N12" s="11">
        <v>68</v>
      </c>
      <c r="O12" s="11">
        <v>78</v>
      </c>
      <c r="P12" s="11">
        <v>119</v>
      </c>
      <c r="Q12" s="11">
        <v>99</v>
      </c>
      <c r="R12" s="11">
        <v>364</v>
      </c>
      <c r="S12" s="19">
        <f t="shared" si="1"/>
        <v>534</v>
      </c>
      <c r="T12" s="19"/>
      <c r="U12" s="19"/>
      <c r="V12" s="20"/>
      <c r="W12" s="21" t="s">
        <v>33</v>
      </c>
    </row>
    <row r="13" spans="1:23" s="2" customFormat="1" ht="30" customHeight="1" x14ac:dyDescent="0.25">
      <c r="A13" s="10" t="s">
        <v>63</v>
      </c>
      <c r="B13" s="11" t="s">
        <v>25</v>
      </c>
      <c r="C13" s="11" t="s">
        <v>26</v>
      </c>
      <c r="D13" s="11" t="s">
        <v>48</v>
      </c>
      <c r="E13" s="11" t="s">
        <v>28</v>
      </c>
      <c r="F13" s="11" t="s">
        <v>29</v>
      </c>
      <c r="G13" s="11" t="s">
        <v>30</v>
      </c>
      <c r="H13" s="11" t="s">
        <v>64</v>
      </c>
      <c r="I13" s="11" t="s">
        <v>65</v>
      </c>
      <c r="J13" s="14">
        <v>60</v>
      </c>
      <c r="K13" s="14">
        <v>73.599999999999994</v>
      </c>
      <c r="L13" s="14">
        <v>22.2</v>
      </c>
      <c r="M13" s="14">
        <f t="shared" si="0"/>
        <v>155.79999999999998</v>
      </c>
      <c r="N13" s="11">
        <v>71</v>
      </c>
      <c r="O13" s="11">
        <v>64</v>
      </c>
      <c r="P13" s="11">
        <v>123</v>
      </c>
      <c r="Q13" s="11">
        <v>110</v>
      </c>
      <c r="R13" s="11">
        <v>368</v>
      </c>
      <c r="S13" s="19">
        <f t="shared" si="1"/>
        <v>523.79999999999995</v>
      </c>
      <c r="T13" s="19"/>
      <c r="U13" s="19"/>
      <c r="V13" s="20"/>
      <c r="W13" s="21" t="s">
        <v>235</v>
      </c>
    </row>
    <row r="14" spans="1:23" s="2" customFormat="1" ht="30" customHeight="1" x14ac:dyDescent="0.25">
      <c r="A14" s="10" t="s">
        <v>66</v>
      </c>
      <c r="B14" s="11" t="s">
        <v>25</v>
      </c>
      <c r="C14" s="11" t="s">
        <v>26</v>
      </c>
      <c r="D14" s="11" t="s">
        <v>48</v>
      </c>
      <c r="E14" s="11" t="s">
        <v>28</v>
      </c>
      <c r="F14" s="11" t="s">
        <v>29</v>
      </c>
      <c r="G14" s="11" t="s">
        <v>30</v>
      </c>
      <c r="H14" s="11" t="s">
        <v>67</v>
      </c>
      <c r="I14" s="11" t="s">
        <v>68</v>
      </c>
      <c r="J14" s="14">
        <v>57.8</v>
      </c>
      <c r="K14" s="14">
        <v>79.400000000000006</v>
      </c>
      <c r="L14" s="14">
        <v>22.8</v>
      </c>
      <c r="M14" s="14">
        <f t="shared" si="0"/>
        <v>160</v>
      </c>
      <c r="N14" s="11">
        <v>68</v>
      </c>
      <c r="O14" s="11">
        <v>59</v>
      </c>
      <c r="P14" s="11">
        <v>110</v>
      </c>
      <c r="Q14" s="11">
        <v>121</v>
      </c>
      <c r="R14" s="11">
        <v>358</v>
      </c>
      <c r="S14" s="19">
        <f t="shared" si="1"/>
        <v>518</v>
      </c>
      <c r="T14" s="19"/>
      <c r="U14" s="19"/>
      <c r="V14" s="20"/>
      <c r="W14" s="21"/>
    </row>
    <row r="15" spans="1:23" s="2" customFormat="1" ht="30" customHeight="1" x14ac:dyDescent="0.25">
      <c r="A15" s="10" t="s">
        <v>69</v>
      </c>
      <c r="B15" s="11" t="s">
        <v>25</v>
      </c>
      <c r="C15" s="11" t="s">
        <v>26</v>
      </c>
      <c r="D15" s="11" t="s">
        <v>48</v>
      </c>
      <c r="E15" s="11" t="s">
        <v>28</v>
      </c>
      <c r="F15" s="11" t="s">
        <v>29</v>
      </c>
      <c r="G15" s="11" t="s">
        <v>30</v>
      </c>
      <c r="H15" s="11" t="s">
        <v>70</v>
      </c>
      <c r="I15" s="11" t="s">
        <v>71</v>
      </c>
      <c r="J15" s="14">
        <v>33.6</v>
      </c>
      <c r="K15" s="14">
        <v>83.2</v>
      </c>
      <c r="L15" s="14">
        <v>22.2</v>
      </c>
      <c r="M15" s="14">
        <f t="shared" si="0"/>
        <v>139</v>
      </c>
      <c r="N15" s="11">
        <v>80</v>
      </c>
      <c r="O15" s="11">
        <v>73</v>
      </c>
      <c r="P15" s="11">
        <v>130</v>
      </c>
      <c r="Q15" s="11">
        <v>87</v>
      </c>
      <c r="R15" s="11">
        <v>370</v>
      </c>
      <c r="S15" s="19">
        <f t="shared" si="1"/>
        <v>509</v>
      </c>
      <c r="T15" s="19"/>
      <c r="U15" s="19"/>
      <c r="V15" s="20"/>
      <c r="W15" s="21"/>
    </row>
    <row r="16" spans="1:23" s="2" customFormat="1" ht="30" customHeight="1" x14ac:dyDescent="0.25">
      <c r="A16" s="10" t="s">
        <v>72</v>
      </c>
      <c r="B16" s="11" t="s">
        <v>25</v>
      </c>
      <c r="C16" s="11" t="s">
        <v>26</v>
      </c>
      <c r="D16" s="11" t="s">
        <v>48</v>
      </c>
      <c r="E16" s="11" t="s">
        <v>28</v>
      </c>
      <c r="F16" s="11" t="s">
        <v>29</v>
      </c>
      <c r="G16" s="11" t="s">
        <v>30</v>
      </c>
      <c r="H16" s="11" t="s">
        <v>73</v>
      </c>
      <c r="I16" s="11" t="s">
        <v>74</v>
      </c>
      <c r="J16" s="14">
        <v>46</v>
      </c>
      <c r="K16" s="14">
        <v>80.400000000000006</v>
      </c>
      <c r="L16" s="14">
        <v>21.8</v>
      </c>
      <c r="M16" s="14">
        <f t="shared" si="0"/>
        <v>148.20000000000002</v>
      </c>
      <c r="N16" s="11">
        <v>66</v>
      </c>
      <c r="O16" s="11">
        <v>64</v>
      </c>
      <c r="P16" s="11">
        <v>112</v>
      </c>
      <c r="Q16" s="11">
        <v>115</v>
      </c>
      <c r="R16" s="11">
        <v>357</v>
      </c>
      <c r="S16" s="19">
        <f t="shared" si="1"/>
        <v>505.20000000000005</v>
      </c>
      <c r="T16" s="19"/>
      <c r="U16" s="19"/>
      <c r="V16" s="20"/>
      <c r="W16" s="21"/>
    </row>
    <row r="17" spans="1:23" s="2" customFormat="1" ht="30" customHeight="1" x14ac:dyDescent="0.25">
      <c r="A17" s="10" t="s">
        <v>75</v>
      </c>
      <c r="B17" s="11" t="s">
        <v>25</v>
      </c>
      <c r="C17" s="11" t="s">
        <v>26</v>
      </c>
      <c r="D17" s="11" t="s">
        <v>48</v>
      </c>
      <c r="E17" s="11" t="s">
        <v>28</v>
      </c>
      <c r="F17" s="11" t="s">
        <v>29</v>
      </c>
      <c r="G17" s="11" t="s">
        <v>30</v>
      </c>
      <c r="H17" s="11" t="s">
        <v>76</v>
      </c>
      <c r="I17" s="11" t="s">
        <v>77</v>
      </c>
      <c r="J17" s="14">
        <v>37.799999999999997</v>
      </c>
      <c r="K17" s="14">
        <v>75.2</v>
      </c>
      <c r="L17" s="14">
        <v>20.8</v>
      </c>
      <c r="M17" s="14">
        <f t="shared" si="0"/>
        <v>133.80000000000001</v>
      </c>
      <c r="N17" s="11">
        <v>69</v>
      </c>
      <c r="O17" s="11">
        <v>75</v>
      </c>
      <c r="P17" s="11">
        <v>113</v>
      </c>
      <c r="Q17" s="11">
        <v>109</v>
      </c>
      <c r="R17" s="11">
        <v>366</v>
      </c>
      <c r="S17" s="19">
        <f t="shared" si="1"/>
        <v>499.8</v>
      </c>
      <c r="T17" s="19"/>
      <c r="U17" s="19"/>
      <c r="V17" s="20"/>
      <c r="W17" s="21"/>
    </row>
    <row r="18" spans="1:23" s="2" customFormat="1" ht="30" customHeight="1" x14ac:dyDescent="0.25">
      <c r="A18" s="10" t="s">
        <v>78</v>
      </c>
      <c r="B18" s="11" t="s">
        <v>25</v>
      </c>
      <c r="C18" s="11" t="s">
        <v>26</v>
      </c>
      <c r="D18" s="11" t="s">
        <v>48</v>
      </c>
      <c r="E18" s="11" t="s">
        <v>28</v>
      </c>
      <c r="F18" s="11" t="s">
        <v>29</v>
      </c>
      <c r="G18" s="11" t="s">
        <v>30</v>
      </c>
      <c r="H18" s="11" t="s">
        <v>79</v>
      </c>
      <c r="I18" s="11" t="s">
        <v>80</v>
      </c>
      <c r="J18" s="14">
        <v>44</v>
      </c>
      <c r="K18" s="14">
        <v>75</v>
      </c>
      <c r="L18" s="14">
        <v>22</v>
      </c>
      <c r="M18" s="14">
        <f t="shared" si="0"/>
        <v>141</v>
      </c>
      <c r="N18" s="11">
        <v>73</v>
      </c>
      <c r="O18" s="11">
        <v>85</v>
      </c>
      <c r="P18" s="11">
        <v>94</v>
      </c>
      <c r="Q18" s="11">
        <v>105</v>
      </c>
      <c r="R18" s="11">
        <v>357</v>
      </c>
      <c r="S18" s="19">
        <f t="shared" si="1"/>
        <v>498</v>
      </c>
      <c r="T18" s="19"/>
      <c r="U18" s="19"/>
      <c r="V18" s="20"/>
      <c r="W18" s="21"/>
    </row>
    <row r="19" spans="1:23" s="2" customFormat="1" ht="30" customHeight="1" x14ac:dyDescent="0.25">
      <c r="A19" s="10" t="s">
        <v>81</v>
      </c>
      <c r="B19" s="11" t="s">
        <v>25</v>
      </c>
      <c r="C19" s="11" t="s">
        <v>26</v>
      </c>
      <c r="D19" s="11" t="s">
        <v>48</v>
      </c>
      <c r="E19" s="11" t="s">
        <v>28</v>
      </c>
      <c r="F19" s="11" t="s">
        <v>29</v>
      </c>
      <c r="G19" s="11" t="s">
        <v>30</v>
      </c>
      <c r="H19" s="11" t="s">
        <v>82</v>
      </c>
      <c r="I19" s="11" t="s">
        <v>83</v>
      </c>
      <c r="J19" s="15">
        <v>20</v>
      </c>
      <c r="K19" s="15">
        <v>74.599999999999994</v>
      </c>
      <c r="L19" s="15">
        <v>21.4</v>
      </c>
      <c r="M19" s="15">
        <f t="shared" si="0"/>
        <v>116</v>
      </c>
      <c r="N19" s="16">
        <v>74</v>
      </c>
      <c r="O19" s="16">
        <v>83</v>
      </c>
      <c r="P19" s="16">
        <v>115</v>
      </c>
      <c r="Q19" s="16">
        <v>104</v>
      </c>
      <c r="R19" s="16">
        <v>376</v>
      </c>
      <c r="S19" s="22">
        <f t="shared" si="1"/>
        <v>492</v>
      </c>
      <c r="T19" s="19"/>
      <c r="U19" s="22"/>
      <c r="V19" s="23"/>
      <c r="W19" s="24" t="s">
        <v>43</v>
      </c>
    </row>
    <row r="20" spans="1:23" s="2" customFormat="1" ht="30" customHeight="1" x14ac:dyDescent="0.25">
      <c r="A20" s="10" t="s">
        <v>84</v>
      </c>
      <c r="B20" s="11" t="s">
        <v>25</v>
      </c>
      <c r="C20" s="11" t="s">
        <v>26</v>
      </c>
      <c r="D20" s="11" t="s">
        <v>48</v>
      </c>
      <c r="E20" s="11" t="s">
        <v>28</v>
      </c>
      <c r="F20" s="11" t="s">
        <v>29</v>
      </c>
      <c r="G20" s="11" t="s">
        <v>30</v>
      </c>
      <c r="H20" s="11" t="s">
        <v>85</v>
      </c>
      <c r="I20" s="11" t="s">
        <v>86</v>
      </c>
      <c r="J20" s="15">
        <v>0</v>
      </c>
      <c r="K20" s="15">
        <v>0</v>
      </c>
      <c r="L20" s="15">
        <v>0</v>
      </c>
      <c r="M20" s="15">
        <v>0</v>
      </c>
      <c r="N20" s="16">
        <v>73</v>
      </c>
      <c r="O20" s="16">
        <v>86</v>
      </c>
      <c r="P20" s="16">
        <v>105</v>
      </c>
      <c r="Q20" s="16">
        <v>102</v>
      </c>
      <c r="R20" s="16">
        <v>366</v>
      </c>
      <c r="S20" s="22">
        <f t="shared" si="1"/>
        <v>366</v>
      </c>
      <c r="T20" s="19"/>
      <c r="U20" s="22"/>
      <c r="V20" s="24"/>
      <c r="W20" s="24" t="s">
        <v>43</v>
      </c>
    </row>
    <row r="21" spans="1:23" s="2" customFormat="1" ht="30" customHeight="1" x14ac:dyDescent="0.25">
      <c r="A21" s="10" t="s">
        <v>87</v>
      </c>
      <c r="B21" s="11" t="s">
        <v>25</v>
      </c>
      <c r="C21" s="11" t="s">
        <v>26</v>
      </c>
      <c r="D21" s="11" t="s">
        <v>88</v>
      </c>
      <c r="E21" s="11" t="s">
        <v>89</v>
      </c>
      <c r="F21" s="11" t="s">
        <v>29</v>
      </c>
      <c r="G21" s="11" t="s">
        <v>30</v>
      </c>
      <c r="H21" s="11" t="s">
        <v>90</v>
      </c>
      <c r="I21" s="11" t="s">
        <v>91</v>
      </c>
      <c r="J21" s="14">
        <v>66.8</v>
      </c>
      <c r="K21" s="14">
        <v>79.2</v>
      </c>
      <c r="L21" s="14">
        <v>20.2</v>
      </c>
      <c r="M21" s="14">
        <f t="shared" ref="M21:M37" si="2">SUM(J21:L21)</f>
        <v>166.2</v>
      </c>
      <c r="N21" s="11">
        <v>66</v>
      </c>
      <c r="O21" s="11">
        <v>67</v>
      </c>
      <c r="P21" s="11">
        <v>115</v>
      </c>
      <c r="Q21" s="11">
        <v>122</v>
      </c>
      <c r="R21" s="11">
        <v>370</v>
      </c>
      <c r="S21" s="19">
        <f t="shared" si="1"/>
        <v>536.20000000000005</v>
      </c>
      <c r="T21" s="19"/>
      <c r="U21" s="19"/>
      <c r="V21" s="20"/>
      <c r="W21" s="21" t="s">
        <v>33</v>
      </c>
    </row>
    <row r="22" spans="1:23" s="2" customFormat="1" ht="30" customHeight="1" x14ac:dyDescent="0.25">
      <c r="A22" s="10" t="s">
        <v>92</v>
      </c>
      <c r="B22" s="11" t="s">
        <v>25</v>
      </c>
      <c r="C22" s="11" t="s">
        <v>26</v>
      </c>
      <c r="D22" s="11" t="s">
        <v>88</v>
      </c>
      <c r="E22" s="11" t="s">
        <v>89</v>
      </c>
      <c r="F22" s="11" t="s">
        <v>29</v>
      </c>
      <c r="G22" s="11" t="s">
        <v>30</v>
      </c>
      <c r="H22" s="11" t="s">
        <v>93</v>
      </c>
      <c r="I22" s="11" t="s">
        <v>94</v>
      </c>
      <c r="J22" s="14">
        <v>61.6</v>
      </c>
      <c r="K22" s="14">
        <v>79</v>
      </c>
      <c r="L22" s="14">
        <v>20.8</v>
      </c>
      <c r="M22" s="14">
        <f t="shared" si="2"/>
        <v>161.4</v>
      </c>
      <c r="N22" s="11">
        <v>80</v>
      </c>
      <c r="O22" s="11">
        <v>82</v>
      </c>
      <c r="P22" s="11">
        <v>111</v>
      </c>
      <c r="Q22" s="11">
        <v>93</v>
      </c>
      <c r="R22" s="11">
        <v>366</v>
      </c>
      <c r="S22" s="19">
        <f t="shared" si="1"/>
        <v>527.4</v>
      </c>
      <c r="T22" s="19"/>
      <c r="U22" s="19"/>
      <c r="V22" s="20"/>
      <c r="W22" s="21" t="s">
        <v>33</v>
      </c>
    </row>
    <row r="23" spans="1:23" s="2" customFormat="1" ht="30" customHeight="1" x14ac:dyDescent="0.25">
      <c r="A23" s="10" t="s">
        <v>95</v>
      </c>
      <c r="B23" s="11" t="s">
        <v>25</v>
      </c>
      <c r="C23" s="11" t="s">
        <v>26</v>
      </c>
      <c r="D23" s="11" t="s">
        <v>88</v>
      </c>
      <c r="E23" s="11" t="s">
        <v>89</v>
      </c>
      <c r="F23" s="11" t="s">
        <v>29</v>
      </c>
      <c r="G23" s="11" t="s">
        <v>30</v>
      </c>
      <c r="H23" s="11" t="s">
        <v>96</v>
      </c>
      <c r="I23" s="11" t="s">
        <v>97</v>
      </c>
      <c r="J23" s="14">
        <v>55.4</v>
      </c>
      <c r="K23" s="14">
        <v>77.2</v>
      </c>
      <c r="L23" s="14">
        <v>21</v>
      </c>
      <c r="M23" s="14">
        <f t="shared" si="2"/>
        <v>153.6</v>
      </c>
      <c r="N23" s="11">
        <v>67</v>
      </c>
      <c r="O23" s="11">
        <v>73</v>
      </c>
      <c r="P23" s="11">
        <v>117</v>
      </c>
      <c r="Q23" s="11">
        <v>112</v>
      </c>
      <c r="R23" s="11">
        <v>369</v>
      </c>
      <c r="S23" s="19">
        <f t="shared" si="1"/>
        <v>522.6</v>
      </c>
      <c r="T23" s="19"/>
      <c r="U23" s="19"/>
      <c r="V23" s="20"/>
      <c r="W23" s="21" t="s">
        <v>232</v>
      </c>
    </row>
    <row r="24" spans="1:23" s="2" customFormat="1" ht="30" customHeight="1" x14ac:dyDescent="0.25">
      <c r="A24" s="10" t="s">
        <v>98</v>
      </c>
      <c r="B24" s="11" t="s">
        <v>25</v>
      </c>
      <c r="C24" s="11" t="s">
        <v>26</v>
      </c>
      <c r="D24" s="11" t="s">
        <v>88</v>
      </c>
      <c r="E24" s="11" t="s">
        <v>89</v>
      </c>
      <c r="F24" s="11" t="s">
        <v>29</v>
      </c>
      <c r="G24" s="11" t="s">
        <v>30</v>
      </c>
      <c r="H24" s="11" t="s">
        <v>67</v>
      </c>
      <c r="I24" s="11" t="s">
        <v>68</v>
      </c>
      <c r="J24" s="14">
        <v>62.6</v>
      </c>
      <c r="K24" s="14">
        <v>79.400000000000006</v>
      </c>
      <c r="L24" s="14">
        <v>21.6</v>
      </c>
      <c r="M24" s="14">
        <f t="shared" si="2"/>
        <v>163.6</v>
      </c>
      <c r="N24" s="11">
        <v>68</v>
      </c>
      <c r="O24" s="11">
        <v>59</v>
      </c>
      <c r="P24" s="11">
        <v>110</v>
      </c>
      <c r="Q24" s="11">
        <v>121</v>
      </c>
      <c r="R24" s="11">
        <v>358</v>
      </c>
      <c r="S24" s="19">
        <f t="shared" si="1"/>
        <v>521.6</v>
      </c>
      <c r="T24" s="19"/>
      <c r="U24" s="19"/>
      <c r="V24" s="20"/>
      <c r="W24" s="21" t="s">
        <v>33</v>
      </c>
    </row>
    <row r="25" spans="1:23" s="2" customFormat="1" ht="30" customHeight="1" x14ac:dyDescent="0.25">
      <c r="A25" s="10" t="s">
        <v>99</v>
      </c>
      <c r="B25" s="11" t="s">
        <v>25</v>
      </c>
      <c r="C25" s="11" t="s">
        <v>26</v>
      </c>
      <c r="D25" s="11" t="s">
        <v>88</v>
      </c>
      <c r="E25" s="11" t="s">
        <v>89</v>
      </c>
      <c r="F25" s="11" t="s">
        <v>29</v>
      </c>
      <c r="G25" s="11" t="s">
        <v>30</v>
      </c>
      <c r="H25" s="11" t="s">
        <v>100</v>
      </c>
      <c r="I25" s="11" t="s">
        <v>101</v>
      </c>
      <c r="J25" s="14">
        <v>62</v>
      </c>
      <c r="K25" s="14">
        <v>77.400000000000006</v>
      </c>
      <c r="L25" s="14">
        <v>19.600000000000001</v>
      </c>
      <c r="M25" s="14">
        <f t="shared" si="2"/>
        <v>159</v>
      </c>
      <c r="N25" s="11">
        <v>69</v>
      </c>
      <c r="O25" s="11">
        <v>74</v>
      </c>
      <c r="P25" s="11">
        <v>132</v>
      </c>
      <c r="Q25" s="11">
        <v>82</v>
      </c>
      <c r="R25" s="11">
        <v>357</v>
      </c>
      <c r="S25" s="19">
        <f t="shared" si="1"/>
        <v>516</v>
      </c>
      <c r="T25" s="19"/>
      <c r="U25" s="19"/>
      <c r="V25" s="20"/>
      <c r="W25" s="21" t="s">
        <v>33</v>
      </c>
    </row>
    <row r="26" spans="1:23" s="2" customFormat="1" ht="30" customHeight="1" x14ac:dyDescent="0.25">
      <c r="A26" s="10" t="s">
        <v>102</v>
      </c>
      <c r="B26" s="11" t="s">
        <v>25</v>
      </c>
      <c r="C26" s="11" t="s">
        <v>26</v>
      </c>
      <c r="D26" s="11" t="s">
        <v>88</v>
      </c>
      <c r="E26" s="11" t="s">
        <v>89</v>
      </c>
      <c r="F26" s="11" t="s">
        <v>29</v>
      </c>
      <c r="G26" s="11" t="s">
        <v>30</v>
      </c>
      <c r="H26" s="11" t="s">
        <v>103</v>
      </c>
      <c r="I26" s="11" t="s">
        <v>104</v>
      </c>
      <c r="J26" s="14">
        <v>42.8</v>
      </c>
      <c r="K26" s="14">
        <v>76</v>
      </c>
      <c r="L26" s="14">
        <v>21</v>
      </c>
      <c r="M26" s="14">
        <f t="shared" si="2"/>
        <v>139.80000000000001</v>
      </c>
      <c r="N26" s="11">
        <v>71</v>
      </c>
      <c r="O26" s="11">
        <v>82</v>
      </c>
      <c r="P26" s="11">
        <v>116</v>
      </c>
      <c r="Q26" s="11">
        <v>102</v>
      </c>
      <c r="R26" s="11">
        <v>371</v>
      </c>
      <c r="S26" s="19">
        <f t="shared" si="1"/>
        <v>510.8</v>
      </c>
      <c r="T26" s="19"/>
      <c r="U26" s="19"/>
      <c r="V26" s="20"/>
      <c r="W26" s="21" t="s">
        <v>33</v>
      </c>
    </row>
    <row r="27" spans="1:23" s="2" customFormat="1" ht="30" customHeight="1" x14ac:dyDescent="0.25">
      <c r="A27" s="10" t="s">
        <v>105</v>
      </c>
      <c r="B27" s="11" t="s">
        <v>25</v>
      </c>
      <c r="C27" s="11" t="s">
        <v>26</v>
      </c>
      <c r="D27" s="11" t="s">
        <v>88</v>
      </c>
      <c r="E27" s="11" t="s">
        <v>89</v>
      </c>
      <c r="F27" s="11" t="s">
        <v>29</v>
      </c>
      <c r="G27" s="11" t="s">
        <v>30</v>
      </c>
      <c r="H27" s="11" t="s">
        <v>106</v>
      </c>
      <c r="I27" s="11" t="s">
        <v>107</v>
      </c>
      <c r="J27" s="14">
        <v>48</v>
      </c>
      <c r="K27" s="14">
        <v>70.400000000000006</v>
      </c>
      <c r="L27" s="14">
        <v>19.600000000000001</v>
      </c>
      <c r="M27" s="14">
        <f t="shared" si="2"/>
        <v>138</v>
      </c>
      <c r="N27" s="11">
        <v>74</v>
      </c>
      <c r="O27" s="11">
        <v>79</v>
      </c>
      <c r="P27" s="11">
        <v>105</v>
      </c>
      <c r="Q27" s="11">
        <v>112</v>
      </c>
      <c r="R27" s="11">
        <v>370</v>
      </c>
      <c r="S27" s="19">
        <f t="shared" si="1"/>
        <v>508</v>
      </c>
      <c r="T27" s="19"/>
      <c r="U27" s="19"/>
      <c r="V27" s="20"/>
      <c r="W27" s="25" t="s">
        <v>233</v>
      </c>
    </row>
    <row r="28" spans="1:23" s="2" customFormat="1" ht="30" customHeight="1" x14ac:dyDescent="0.25">
      <c r="A28" s="10" t="s">
        <v>108</v>
      </c>
      <c r="B28" s="11" t="s">
        <v>25</v>
      </c>
      <c r="C28" s="11" t="s">
        <v>26</v>
      </c>
      <c r="D28" s="11" t="s">
        <v>88</v>
      </c>
      <c r="E28" s="11" t="s">
        <v>89</v>
      </c>
      <c r="F28" s="11" t="s">
        <v>29</v>
      </c>
      <c r="G28" s="11" t="s">
        <v>30</v>
      </c>
      <c r="H28" s="11" t="s">
        <v>109</v>
      </c>
      <c r="I28" s="11" t="s">
        <v>110</v>
      </c>
      <c r="J28" s="14">
        <v>40.4</v>
      </c>
      <c r="K28" s="14">
        <v>70.8</v>
      </c>
      <c r="L28" s="14">
        <v>20.6</v>
      </c>
      <c r="M28" s="14">
        <f t="shared" si="2"/>
        <v>131.79999999999998</v>
      </c>
      <c r="N28" s="11">
        <v>64</v>
      </c>
      <c r="O28" s="11">
        <v>76</v>
      </c>
      <c r="P28" s="11">
        <v>123</v>
      </c>
      <c r="Q28" s="11">
        <v>112</v>
      </c>
      <c r="R28" s="11">
        <v>375</v>
      </c>
      <c r="S28" s="19">
        <f t="shared" si="1"/>
        <v>506.79999999999995</v>
      </c>
      <c r="T28" s="19"/>
      <c r="U28" s="19"/>
      <c r="V28" s="20"/>
      <c r="W28" s="20"/>
    </row>
    <row r="29" spans="1:23" s="2" customFormat="1" ht="30" customHeight="1" x14ac:dyDescent="0.25">
      <c r="A29" s="10" t="s">
        <v>111</v>
      </c>
      <c r="B29" s="11" t="s">
        <v>25</v>
      </c>
      <c r="C29" s="11" t="s">
        <v>26</v>
      </c>
      <c r="D29" s="11" t="s">
        <v>88</v>
      </c>
      <c r="E29" s="11" t="s">
        <v>89</v>
      </c>
      <c r="F29" s="11" t="s">
        <v>29</v>
      </c>
      <c r="G29" s="11" t="s">
        <v>30</v>
      </c>
      <c r="H29" s="11" t="s">
        <v>112</v>
      </c>
      <c r="I29" s="11" t="s">
        <v>113</v>
      </c>
      <c r="J29" s="14">
        <v>55.6</v>
      </c>
      <c r="K29" s="14">
        <v>72.2</v>
      </c>
      <c r="L29" s="14">
        <v>20.6</v>
      </c>
      <c r="M29" s="14">
        <f t="shared" si="2"/>
        <v>148.4</v>
      </c>
      <c r="N29" s="11">
        <v>80</v>
      </c>
      <c r="O29" s="11">
        <v>77</v>
      </c>
      <c r="P29" s="11">
        <v>91</v>
      </c>
      <c r="Q29" s="11">
        <v>110</v>
      </c>
      <c r="R29" s="11">
        <v>358</v>
      </c>
      <c r="S29" s="19">
        <f t="shared" si="1"/>
        <v>506.4</v>
      </c>
      <c r="T29" s="19"/>
      <c r="U29" s="19"/>
      <c r="V29" s="20"/>
      <c r="W29" s="20"/>
    </row>
    <row r="30" spans="1:23" s="2" customFormat="1" ht="30" customHeight="1" x14ac:dyDescent="0.25">
      <c r="A30" s="10" t="s">
        <v>114</v>
      </c>
      <c r="B30" s="11" t="s">
        <v>25</v>
      </c>
      <c r="C30" s="11" t="s">
        <v>26</v>
      </c>
      <c r="D30" s="11" t="s">
        <v>88</v>
      </c>
      <c r="E30" s="11" t="s">
        <v>89</v>
      </c>
      <c r="F30" s="11" t="s">
        <v>29</v>
      </c>
      <c r="G30" s="11" t="s">
        <v>30</v>
      </c>
      <c r="H30" s="11" t="s">
        <v>115</v>
      </c>
      <c r="I30" s="11" t="s">
        <v>116</v>
      </c>
      <c r="J30" s="15">
        <v>34.4</v>
      </c>
      <c r="K30" s="15">
        <v>73</v>
      </c>
      <c r="L30" s="15">
        <v>20.399999999999999</v>
      </c>
      <c r="M30" s="15">
        <f t="shared" si="2"/>
        <v>127.80000000000001</v>
      </c>
      <c r="N30" s="16">
        <v>78</v>
      </c>
      <c r="O30" s="16">
        <v>87</v>
      </c>
      <c r="P30" s="16">
        <v>109</v>
      </c>
      <c r="Q30" s="16">
        <v>104</v>
      </c>
      <c r="R30" s="16">
        <v>378</v>
      </c>
      <c r="S30" s="22">
        <f t="shared" si="1"/>
        <v>505.8</v>
      </c>
      <c r="T30" s="19"/>
      <c r="U30" s="22"/>
      <c r="V30" s="23"/>
      <c r="W30" s="24" t="s">
        <v>43</v>
      </c>
    </row>
    <row r="31" spans="1:23" s="2" customFormat="1" ht="30" customHeight="1" x14ac:dyDescent="0.25">
      <c r="A31" s="10" t="s">
        <v>117</v>
      </c>
      <c r="B31" s="11" t="s">
        <v>25</v>
      </c>
      <c r="C31" s="11" t="s">
        <v>26</v>
      </c>
      <c r="D31" s="11" t="s">
        <v>88</v>
      </c>
      <c r="E31" s="11" t="s">
        <v>89</v>
      </c>
      <c r="F31" s="11" t="s">
        <v>29</v>
      </c>
      <c r="G31" s="11" t="s">
        <v>30</v>
      </c>
      <c r="H31" s="11" t="s">
        <v>118</v>
      </c>
      <c r="I31" s="11" t="s">
        <v>119</v>
      </c>
      <c r="J31" s="14">
        <v>52.4</v>
      </c>
      <c r="K31" s="14">
        <v>74.2</v>
      </c>
      <c r="L31" s="14">
        <v>21</v>
      </c>
      <c r="M31" s="14">
        <f t="shared" si="2"/>
        <v>147.6</v>
      </c>
      <c r="N31" s="11">
        <v>76</v>
      </c>
      <c r="O31" s="11">
        <v>85</v>
      </c>
      <c r="P31" s="11">
        <v>94</v>
      </c>
      <c r="Q31" s="11">
        <v>102</v>
      </c>
      <c r="R31" s="11">
        <v>357</v>
      </c>
      <c r="S31" s="19">
        <f t="shared" si="1"/>
        <v>504.6</v>
      </c>
      <c r="T31" s="19"/>
      <c r="U31" s="19"/>
      <c r="V31" s="20"/>
      <c r="W31" s="20"/>
    </row>
    <row r="32" spans="1:23" s="2" customFormat="1" ht="30" customHeight="1" x14ac:dyDescent="0.25">
      <c r="A32" s="10" t="s">
        <v>120</v>
      </c>
      <c r="B32" s="11" t="s">
        <v>25</v>
      </c>
      <c r="C32" s="11" t="s">
        <v>26</v>
      </c>
      <c r="D32" s="11" t="s">
        <v>88</v>
      </c>
      <c r="E32" s="11" t="s">
        <v>89</v>
      </c>
      <c r="F32" s="11" t="s">
        <v>29</v>
      </c>
      <c r="G32" s="11" t="s">
        <v>30</v>
      </c>
      <c r="H32" s="11" t="s">
        <v>121</v>
      </c>
      <c r="I32" s="11" t="s">
        <v>122</v>
      </c>
      <c r="J32" s="15">
        <v>26</v>
      </c>
      <c r="K32" s="15">
        <v>71</v>
      </c>
      <c r="L32" s="15">
        <v>20.8</v>
      </c>
      <c r="M32" s="15">
        <f t="shared" si="2"/>
        <v>117.8</v>
      </c>
      <c r="N32" s="16">
        <v>80</v>
      </c>
      <c r="O32" s="16">
        <v>73</v>
      </c>
      <c r="P32" s="16">
        <v>112</v>
      </c>
      <c r="Q32" s="16">
        <v>108</v>
      </c>
      <c r="R32" s="16">
        <v>373</v>
      </c>
      <c r="S32" s="22">
        <f t="shared" si="1"/>
        <v>490.8</v>
      </c>
      <c r="T32" s="19"/>
      <c r="U32" s="22"/>
      <c r="V32" s="23"/>
      <c r="W32" s="24" t="s">
        <v>43</v>
      </c>
    </row>
    <row r="33" spans="1:23" s="2" customFormat="1" ht="30" customHeight="1" x14ac:dyDescent="0.25">
      <c r="A33" s="10" t="s">
        <v>123</v>
      </c>
      <c r="B33" s="11" t="s">
        <v>25</v>
      </c>
      <c r="C33" s="11" t="s">
        <v>26</v>
      </c>
      <c r="D33" s="11" t="s">
        <v>88</v>
      </c>
      <c r="E33" s="11" t="s">
        <v>89</v>
      </c>
      <c r="F33" s="11" t="s">
        <v>29</v>
      </c>
      <c r="G33" s="11" t="s">
        <v>30</v>
      </c>
      <c r="H33" s="11" t="s">
        <v>124</v>
      </c>
      <c r="I33" s="11" t="s">
        <v>125</v>
      </c>
      <c r="J33" s="15">
        <v>24.4</v>
      </c>
      <c r="K33" s="15">
        <v>75</v>
      </c>
      <c r="L33" s="15">
        <v>19.600000000000001</v>
      </c>
      <c r="M33" s="15">
        <f t="shared" si="2"/>
        <v>119</v>
      </c>
      <c r="N33" s="16">
        <v>74</v>
      </c>
      <c r="O33" s="16">
        <v>71</v>
      </c>
      <c r="P33" s="16">
        <v>105</v>
      </c>
      <c r="Q33" s="16">
        <v>117</v>
      </c>
      <c r="R33" s="16">
        <v>367</v>
      </c>
      <c r="S33" s="22">
        <f t="shared" si="1"/>
        <v>486</v>
      </c>
      <c r="T33" s="19"/>
      <c r="U33" s="22"/>
      <c r="V33" s="23"/>
      <c r="W33" s="24" t="s">
        <v>43</v>
      </c>
    </row>
    <row r="34" spans="1:23" s="2" customFormat="1" ht="30" customHeight="1" x14ac:dyDescent="0.25">
      <c r="A34" s="10" t="s">
        <v>126</v>
      </c>
      <c r="B34" s="11" t="s">
        <v>25</v>
      </c>
      <c r="C34" s="11" t="s">
        <v>26</v>
      </c>
      <c r="D34" s="11" t="s">
        <v>88</v>
      </c>
      <c r="E34" s="11" t="s">
        <v>89</v>
      </c>
      <c r="F34" s="11" t="s">
        <v>29</v>
      </c>
      <c r="G34" s="11" t="s">
        <v>30</v>
      </c>
      <c r="H34" s="11" t="s">
        <v>127</v>
      </c>
      <c r="I34" s="11" t="s">
        <v>128</v>
      </c>
      <c r="J34" s="15">
        <v>10</v>
      </c>
      <c r="K34" s="15">
        <v>75.8</v>
      </c>
      <c r="L34" s="15">
        <v>21.2</v>
      </c>
      <c r="M34" s="15">
        <f t="shared" si="2"/>
        <v>107</v>
      </c>
      <c r="N34" s="16">
        <v>70</v>
      </c>
      <c r="O34" s="16">
        <v>80</v>
      </c>
      <c r="P34" s="16">
        <v>99</v>
      </c>
      <c r="Q34" s="16">
        <v>125</v>
      </c>
      <c r="R34" s="16">
        <v>374</v>
      </c>
      <c r="S34" s="22">
        <f t="shared" si="1"/>
        <v>481</v>
      </c>
      <c r="T34" s="19"/>
      <c r="U34" s="22"/>
      <c r="V34" s="23"/>
      <c r="W34" s="24" t="s">
        <v>43</v>
      </c>
    </row>
    <row r="35" spans="1:23" s="2" customFormat="1" ht="30" customHeight="1" x14ac:dyDescent="0.25">
      <c r="A35" s="10" t="s">
        <v>129</v>
      </c>
      <c r="B35" s="11" t="s">
        <v>25</v>
      </c>
      <c r="C35" s="11" t="s">
        <v>26</v>
      </c>
      <c r="D35" s="11" t="s">
        <v>88</v>
      </c>
      <c r="E35" s="11" t="s">
        <v>89</v>
      </c>
      <c r="F35" s="11" t="s">
        <v>29</v>
      </c>
      <c r="G35" s="11" t="s">
        <v>30</v>
      </c>
      <c r="H35" s="11" t="s">
        <v>130</v>
      </c>
      <c r="I35" s="11" t="s">
        <v>131</v>
      </c>
      <c r="J35" s="15">
        <v>19.8</v>
      </c>
      <c r="K35" s="15">
        <v>73.2</v>
      </c>
      <c r="L35" s="15">
        <v>21.4</v>
      </c>
      <c r="M35" s="15">
        <f t="shared" si="2"/>
        <v>114.4</v>
      </c>
      <c r="N35" s="16">
        <v>63</v>
      </c>
      <c r="O35" s="16">
        <v>75</v>
      </c>
      <c r="P35" s="16">
        <v>115</v>
      </c>
      <c r="Q35" s="16">
        <v>113</v>
      </c>
      <c r="R35" s="16">
        <v>366</v>
      </c>
      <c r="S35" s="22">
        <f t="shared" ref="S35:S66" si="3">M35+R35</f>
        <v>480.4</v>
      </c>
      <c r="T35" s="19"/>
      <c r="U35" s="22"/>
      <c r="V35" s="23"/>
      <c r="W35" s="24" t="s">
        <v>43</v>
      </c>
    </row>
    <row r="36" spans="1:23" s="2" customFormat="1" ht="30" customHeight="1" x14ac:dyDescent="0.25">
      <c r="A36" s="10" t="s">
        <v>132</v>
      </c>
      <c r="B36" s="11" t="s">
        <v>25</v>
      </c>
      <c r="C36" s="11" t="s">
        <v>26</v>
      </c>
      <c r="D36" s="11" t="s">
        <v>88</v>
      </c>
      <c r="E36" s="11" t="s">
        <v>89</v>
      </c>
      <c r="F36" s="11" t="s">
        <v>29</v>
      </c>
      <c r="G36" s="11" t="s">
        <v>30</v>
      </c>
      <c r="H36" s="11" t="s">
        <v>133</v>
      </c>
      <c r="I36" s="11" t="s">
        <v>134</v>
      </c>
      <c r="J36" s="15">
        <v>21</v>
      </c>
      <c r="K36" s="15">
        <v>70.2</v>
      </c>
      <c r="L36" s="15">
        <v>20.2</v>
      </c>
      <c r="M36" s="15">
        <f t="shared" si="2"/>
        <v>111.4</v>
      </c>
      <c r="N36" s="16">
        <v>77</v>
      </c>
      <c r="O36" s="16">
        <v>73</v>
      </c>
      <c r="P36" s="16">
        <v>104</v>
      </c>
      <c r="Q36" s="16">
        <v>114</v>
      </c>
      <c r="R36" s="16">
        <v>368</v>
      </c>
      <c r="S36" s="22">
        <f t="shared" si="3"/>
        <v>479.4</v>
      </c>
      <c r="T36" s="19"/>
      <c r="U36" s="22"/>
      <c r="V36" s="23"/>
      <c r="W36" s="24" t="s">
        <v>43</v>
      </c>
    </row>
    <row r="37" spans="1:23" s="2" customFormat="1" ht="30" customHeight="1" x14ac:dyDescent="0.25">
      <c r="A37" s="10" t="s">
        <v>135</v>
      </c>
      <c r="B37" s="11" t="s">
        <v>25</v>
      </c>
      <c r="C37" s="11" t="s">
        <v>26</v>
      </c>
      <c r="D37" s="11" t="s">
        <v>88</v>
      </c>
      <c r="E37" s="11" t="s">
        <v>89</v>
      </c>
      <c r="F37" s="11" t="s">
        <v>29</v>
      </c>
      <c r="G37" s="11" t="s">
        <v>30</v>
      </c>
      <c r="H37" s="11" t="s">
        <v>136</v>
      </c>
      <c r="I37" s="11" t="s">
        <v>137</v>
      </c>
      <c r="J37" s="15">
        <v>25.8</v>
      </c>
      <c r="K37" s="15">
        <v>69.2</v>
      </c>
      <c r="L37" s="15">
        <v>21.4</v>
      </c>
      <c r="M37" s="15">
        <f t="shared" si="2"/>
        <v>116.4</v>
      </c>
      <c r="N37" s="16">
        <v>70</v>
      </c>
      <c r="O37" s="16">
        <v>82</v>
      </c>
      <c r="P37" s="16">
        <v>104</v>
      </c>
      <c r="Q37" s="16">
        <v>100</v>
      </c>
      <c r="R37" s="16">
        <v>356</v>
      </c>
      <c r="S37" s="22">
        <f t="shared" si="3"/>
        <v>472.4</v>
      </c>
      <c r="T37" s="19"/>
      <c r="U37" s="22"/>
      <c r="V37" s="23"/>
      <c r="W37" s="24" t="s">
        <v>43</v>
      </c>
    </row>
    <row r="38" spans="1:23" s="2" customFormat="1" ht="30" customHeight="1" x14ac:dyDescent="0.25">
      <c r="A38" s="10" t="s">
        <v>138</v>
      </c>
      <c r="B38" s="11" t="s">
        <v>25</v>
      </c>
      <c r="C38" s="11" t="s">
        <v>26</v>
      </c>
      <c r="D38" s="11" t="s">
        <v>88</v>
      </c>
      <c r="E38" s="11" t="s">
        <v>89</v>
      </c>
      <c r="F38" s="11" t="s">
        <v>29</v>
      </c>
      <c r="G38" s="11" t="s">
        <v>30</v>
      </c>
      <c r="H38" s="11" t="s">
        <v>139</v>
      </c>
      <c r="I38" s="11" t="s">
        <v>140</v>
      </c>
      <c r="J38" s="15">
        <v>0</v>
      </c>
      <c r="K38" s="15">
        <v>0</v>
      </c>
      <c r="L38" s="15">
        <v>0</v>
      </c>
      <c r="M38" s="15">
        <v>0</v>
      </c>
      <c r="N38" s="16">
        <v>72</v>
      </c>
      <c r="O38" s="16">
        <v>67</v>
      </c>
      <c r="P38" s="16">
        <v>117</v>
      </c>
      <c r="Q38" s="16">
        <v>115</v>
      </c>
      <c r="R38" s="16">
        <v>371</v>
      </c>
      <c r="S38" s="22">
        <f t="shared" si="3"/>
        <v>371</v>
      </c>
      <c r="T38" s="19"/>
      <c r="U38" s="22"/>
      <c r="V38" s="23"/>
      <c r="W38" s="24" t="s">
        <v>43</v>
      </c>
    </row>
    <row r="39" spans="1:23" s="2" customFormat="1" ht="30" customHeight="1" x14ac:dyDescent="0.25">
      <c r="A39" s="10" t="s">
        <v>141</v>
      </c>
      <c r="B39" s="11" t="s">
        <v>25</v>
      </c>
      <c r="C39" s="11" t="s">
        <v>26</v>
      </c>
      <c r="D39" s="11" t="s">
        <v>142</v>
      </c>
      <c r="E39" s="11" t="s">
        <v>143</v>
      </c>
      <c r="F39" s="11" t="s">
        <v>29</v>
      </c>
      <c r="G39" s="11" t="s">
        <v>30</v>
      </c>
      <c r="H39" s="11" t="s">
        <v>144</v>
      </c>
      <c r="I39" s="11" t="s">
        <v>145</v>
      </c>
      <c r="J39" s="14">
        <v>100</v>
      </c>
      <c r="K39" s="14">
        <v>82</v>
      </c>
      <c r="L39" s="14">
        <v>21.3</v>
      </c>
      <c r="M39" s="14">
        <f t="shared" ref="M39:M68" si="4">SUM(J39:L39)</f>
        <v>203.3</v>
      </c>
      <c r="N39" s="11">
        <v>75</v>
      </c>
      <c r="O39" s="11">
        <v>81</v>
      </c>
      <c r="P39" s="11">
        <v>110</v>
      </c>
      <c r="Q39" s="11">
        <v>105</v>
      </c>
      <c r="R39" s="11">
        <v>371</v>
      </c>
      <c r="S39" s="19">
        <f t="shared" si="3"/>
        <v>574.29999999999995</v>
      </c>
      <c r="T39" s="19"/>
      <c r="U39" s="19"/>
      <c r="V39" s="20"/>
      <c r="W39" s="21" t="s">
        <v>33</v>
      </c>
    </row>
    <row r="40" spans="1:23" s="2" customFormat="1" ht="30" customHeight="1" x14ac:dyDescent="0.25">
      <c r="A40" s="10" t="s">
        <v>146</v>
      </c>
      <c r="B40" s="11" t="s">
        <v>25</v>
      </c>
      <c r="C40" s="11" t="s">
        <v>26</v>
      </c>
      <c r="D40" s="11" t="s">
        <v>142</v>
      </c>
      <c r="E40" s="11" t="s">
        <v>143</v>
      </c>
      <c r="F40" s="11" t="s">
        <v>29</v>
      </c>
      <c r="G40" s="11" t="s">
        <v>30</v>
      </c>
      <c r="H40" s="11" t="s">
        <v>147</v>
      </c>
      <c r="I40" s="11" t="s">
        <v>148</v>
      </c>
      <c r="J40" s="14">
        <v>79.099999999999994</v>
      </c>
      <c r="K40" s="14">
        <v>76.2</v>
      </c>
      <c r="L40" s="14">
        <v>20.9</v>
      </c>
      <c r="M40" s="14">
        <f t="shared" si="4"/>
        <v>176.20000000000002</v>
      </c>
      <c r="N40" s="11">
        <v>72</v>
      </c>
      <c r="O40" s="11">
        <v>80</v>
      </c>
      <c r="P40" s="11">
        <v>97</v>
      </c>
      <c r="Q40" s="11">
        <v>109</v>
      </c>
      <c r="R40" s="11">
        <v>358</v>
      </c>
      <c r="S40" s="19">
        <f t="shared" si="3"/>
        <v>534.20000000000005</v>
      </c>
      <c r="T40" s="19"/>
      <c r="U40" s="19"/>
      <c r="V40" s="20"/>
      <c r="W40" s="21" t="s">
        <v>33</v>
      </c>
    </row>
    <row r="41" spans="1:23" s="2" customFormat="1" ht="30" customHeight="1" x14ac:dyDescent="0.25">
      <c r="A41" s="10" t="s">
        <v>149</v>
      </c>
      <c r="B41" s="11" t="s">
        <v>25</v>
      </c>
      <c r="C41" s="11" t="s">
        <v>26</v>
      </c>
      <c r="D41" s="11" t="s">
        <v>142</v>
      </c>
      <c r="E41" s="11" t="s">
        <v>143</v>
      </c>
      <c r="F41" s="11" t="s">
        <v>29</v>
      </c>
      <c r="G41" s="11" t="s">
        <v>30</v>
      </c>
      <c r="H41" s="11" t="s">
        <v>150</v>
      </c>
      <c r="I41" s="11" t="s">
        <v>151</v>
      </c>
      <c r="J41" s="14">
        <v>45</v>
      </c>
      <c r="K41" s="14">
        <v>76.8</v>
      </c>
      <c r="L41" s="14">
        <v>20</v>
      </c>
      <c r="M41" s="14">
        <f t="shared" si="4"/>
        <v>141.80000000000001</v>
      </c>
      <c r="N41" s="11">
        <v>72</v>
      </c>
      <c r="O41" s="11">
        <v>76</v>
      </c>
      <c r="P41" s="11">
        <v>109</v>
      </c>
      <c r="Q41" s="11">
        <v>119</v>
      </c>
      <c r="R41" s="11">
        <v>376</v>
      </c>
      <c r="S41" s="19">
        <f t="shared" si="3"/>
        <v>517.79999999999995</v>
      </c>
      <c r="T41" s="19"/>
      <c r="U41" s="19"/>
      <c r="V41" s="20"/>
      <c r="W41" s="21" t="s">
        <v>33</v>
      </c>
    </row>
    <row r="42" spans="1:23" s="2" customFormat="1" ht="30" customHeight="1" x14ac:dyDescent="0.25">
      <c r="A42" s="10" t="s">
        <v>152</v>
      </c>
      <c r="B42" s="11" t="s">
        <v>25</v>
      </c>
      <c r="C42" s="11" t="s">
        <v>26</v>
      </c>
      <c r="D42" s="11" t="s">
        <v>142</v>
      </c>
      <c r="E42" s="11" t="s">
        <v>143</v>
      </c>
      <c r="F42" s="11" t="s">
        <v>29</v>
      </c>
      <c r="G42" s="11" t="s">
        <v>30</v>
      </c>
      <c r="H42" s="11" t="s">
        <v>153</v>
      </c>
      <c r="I42" s="11" t="s">
        <v>154</v>
      </c>
      <c r="J42" s="14">
        <v>72</v>
      </c>
      <c r="K42" s="14">
        <v>76.400000000000006</v>
      </c>
      <c r="L42" s="14">
        <v>20.9</v>
      </c>
      <c r="M42" s="14">
        <f t="shared" si="4"/>
        <v>169.3</v>
      </c>
      <c r="N42" s="11">
        <v>77</v>
      </c>
      <c r="O42" s="11">
        <v>55</v>
      </c>
      <c r="P42" s="11">
        <v>108</v>
      </c>
      <c r="Q42" s="11">
        <v>106</v>
      </c>
      <c r="R42" s="11">
        <v>346</v>
      </c>
      <c r="S42" s="19">
        <f t="shared" si="3"/>
        <v>515.29999999999995</v>
      </c>
      <c r="T42" s="19"/>
      <c r="U42" s="19"/>
      <c r="V42" s="20"/>
      <c r="W42" s="21" t="s">
        <v>33</v>
      </c>
    </row>
    <row r="43" spans="1:23" s="2" customFormat="1" ht="30" customHeight="1" x14ac:dyDescent="0.25">
      <c r="A43" s="10" t="s">
        <v>155</v>
      </c>
      <c r="B43" s="11" t="s">
        <v>25</v>
      </c>
      <c r="C43" s="11" t="s">
        <v>26</v>
      </c>
      <c r="D43" s="11" t="s">
        <v>142</v>
      </c>
      <c r="E43" s="11" t="s">
        <v>143</v>
      </c>
      <c r="F43" s="11" t="s">
        <v>29</v>
      </c>
      <c r="G43" s="11" t="s">
        <v>30</v>
      </c>
      <c r="H43" s="11" t="s">
        <v>156</v>
      </c>
      <c r="I43" s="11" t="s">
        <v>157</v>
      </c>
      <c r="J43" s="14">
        <v>49.8</v>
      </c>
      <c r="K43" s="14">
        <v>77</v>
      </c>
      <c r="L43" s="14">
        <v>19.399999999999999</v>
      </c>
      <c r="M43" s="14">
        <f t="shared" si="4"/>
        <v>146.19999999999999</v>
      </c>
      <c r="N43" s="11">
        <v>70</v>
      </c>
      <c r="O43" s="11">
        <v>78</v>
      </c>
      <c r="P43" s="11">
        <v>111</v>
      </c>
      <c r="Q43" s="11">
        <v>110</v>
      </c>
      <c r="R43" s="11">
        <v>369</v>
      </c>
      <c r="S43" s="19">
        <f t="shared" si="3"/>
        <v>515.20000000000005</v>
      </c>
      <c r="T43" s="19"/>
      <c r="U43" s="19"/>
      <c r="V43" s="20"/>
      <c r="W43" s="21"/>
    </row>
    <row r="44" spans="1:23" s="2" customFormat="1" ht="30" customHeight="1" x14ac:dyDescent="0.25">
      <c r="A44" s="10" t="s">
        <v>158</v>
      </c>
      <c r="B44" s="11" t="s">
        <v>25</v>
      </c>
      <c r="C44" s="11" t="s">
        <v>26</v>
      </c>
      <c r="D44" s="11" t="s">
        <v>142</v>
      </c>
      <c r="E44" s="11" t="s">
        <v>143</v>
      </c>
      <c r="F44" s="11" t="s">
        <v>29</v>
      </c>
      <c r="G44" s="11" t="s">
        <v>30</v>
      </c>
      <c r="H44" s="11" t="s">
        <v>159</v>
      </c>
      <c r="I44" s="11" t="s">
        <v>160</v>
      </c>
      <c r="J44" s="14">
        <v>73.8</v>
      </c>
      <c r="K44" s="14">
        <v>75.599999999999994</v>
      </c>
      <c r="L44" s="14">
        <v>19</v>
      </c>
      <c r="M44" s="14">
        <f t="shared" si="4"/>
        <v>168.39999999999998</v>
      </c>
      <c r="N44" s="11">
        <v>74</v>
      </c>
      <c r="O44" s="11">
        <v>64</v>
      </c>
      <c r="P44" s="11">
        <v>113</v>
      </c>
      <c r="Q44" s="11">
        <v>95</v>
      </c>
      <c r="R44" s="11">
        <v>346</v>
      </c>
      <c r="S44" s="19">
        <f t="shared" si="3"/>
        <v>514.4</v>
      </c>
      <c r="T44" s="19"/>
      <c r="U44" s="19"/>
      <c r="V44" s="20"/>
      <c r="W44" s="20"/>
    </row>
    <row r="45" spans="1:23" s="2" customFormat="1" ht="30" customHeight="1" x14ac:dyDescent="0.25">
      <c r="A45" s="10" t="s">
        <v>161</v>
      </c>
      <c r="B45" s="11" t="s">
        <v>25</v>
      </c>
      <c r="C45" s="11" t="s">
        <v>26</v>
      </c>
      <c r="D45" s="11" t="s">
        <v>142</v>
      </c>
      <c r="E45" s="11" t="s">
        <v>143</v>
      </c>
      <c r="F45" s="11" t="s">
        <v>29</v>
      </c>
      <c r="G45" s="11" t="s">
        <v>30</v>
      </c>
      <c r="H45" s="11" t="s">
        <v>162</v>
      </c>
      <c r="I45" s="11" t="s">
        <v>163</v>
      </c>
      <c r="J45" s="14">
        <v>59.7</v>
      </c>
      <c r="K45" s="14">
        <v>78.599999999999994</v>
      </c>
      <c r="L45" s="14">
        <v>20.5</v>
      </c>
      <c r="M45" s="14">
        <f t="shared" si="4"/>
        <v>158.80000000000001</v>
      </c>
      <c r="N45" s="11">
        <v>78</v>
      </c>
      <c r="O45" s="11">
        <v>78</v>
      </c>
      <c r="P45" s="11">
        <v>100</v>
      </c>
      <c r="Q45" s="11">
        <v>98</v>
      </c>
      <c r="R45" s="11">
        <v>354</v>
      </c>
      <c r="S45" s="19">
        <f t="shared" si="3"/>
        <v>512.79999999999995</v>
      </c>
      <c r="T45" s="19"/>
      <c r="U45" s="19"/>
      <c r="V45" s="20"/>
      <c r="W45" s="20"/>
    </row>
    <row r="46" spans="1:23" s="2" customFormat="1" ht="30" customHeight="1" x14ac:dyDescent="0.25">
      <c r="A46" s="10" t="s">
        <v>164</v>
      </c>
      <c r="B46" s="11" t="s">
        <v>25</v>
      </c>
      <c r="C46" s="11" t="s">
        <v>26</v>
      </c>
      <c r="D46" s="11" t="s">
        <v>142</v>
      </c>
      <c r="E46" s="11" t="s">
        <v>143</v>
      </c>
      <c r="F46" s="11" t="s">
        <v>29</v>
      </c>
      <c r="G46" s="11" t="s">
        <v>30</v>
      </c>
      <c r="H46" s="11" t="s">
        <v>165</v>
      </c>
      <c r="I46" s="11" t="s">
        <v>166</v>
      </c>
      <c r="J46" s="14">
        <v>55.9</v>
      </c>
      <c r="K46" s="14">
        <v>75</v>
      </c>
      <c r="L46" s="14">
        <v>22.2</v>
      </c>
      <c r="M46" s="14">
        <f t="shared" si="4"/>
        <v>153.1</v>
      </c>
      <c r="N46" s="11">
        <v>55</v>
      </c>
      <c r="O46" s="11">
        <v>76</v>
      </c>
      <c r="P46" s="11">
        <v>110</v>
      </c>
      <c r="Q46" s="11">
        <v>116</v>
      </c>
      <c r="R46" s="11">
        <v>357</v>
      </c>
      <c r="S46" s="19">
        <f t="shared" si="3"/>
        <v>510.1</v>
      </c>
      <c r="T46" s="19"/>
      <c r="U46" s="19"/>
      <c r="V46" s="20"/>
      <c r="W46" s="20"/>
    </row>
    <row r="47" spans="1:23" s="2" customFormat="1" ht="30" customHeight="1" x14ac:dyDescent="0.25">
      <c r="A47" s="10" t="s">
        <v>167</v>
      </c>
      <c r="B47" s="11" t="s">
        <v>25</v>
      </c>
      <c r="C47" s="11" t="s">
        <v>26</v>
      </c>
      <c r="D47" s="11" t="s">
        <v>142</v>
      </c>
      <c r="E47" s="11" t="s">
        <v>143</v>
      </c>
      <c r="F47" s="11" t="s">
        <v>29</v>
      </c>
      <c r="G47" s="11" t="s">
        <v>30</v>
      </c>
      <c r="H47" s="11" t="s">
        <v>168</v>
      </c>
      <c r="I47" s="11" t="s">
        <v>169</v>
      </c>
      <c r="J47" s="14">
        <v>64.8</v>
      </c>
      <c r="K47" s="14">
        <v>78</v>
      </c>
      <c r="L47" s="14">
        <v>20.2</v>
      </c>
      <c r="M47" s="14">
        <f t="shared" si="4"/>
        <v>163</v>
      </c>
      <c r="N47" s="11">
        <v>76</v>
      </c>
      <c r="O47" s="11">
        <v>69</v>
      </c>
      <c r="P47" s="11">
        <v>86</v>
      </c>
      <c r="Q47" s="11">
        <v>114</v>
      </c>
      <c r="R47" s="11">
        <v>345</v>
      </c>
      <c r="S47" s="19">
        <f t="shared" si="3"/>
        <v>508</v>
      </c>
      <c r="T47" s="19"/>
      <c r="U47" s="19"/>
      <c r="V47" s="20"/>
      <c r="W47" s="20"/>
    </row>
    <row r="48" spans="1:23" s="2" customFormat="1" ht="30" customHeight="1" x14ac:dyDescent="0.25">
      <c r="A48" s="10" t="s">
        <v>170</v>
      </c>
      <c r="B48" s="11" t="s">
        <v>25</v>
      </c>
      <c r="C48" s="11" t="s">
        <v>26</v>
      </c>
      <c r="D48" s="11" t="s">
        <v>142</v>
      </c>
      <c r="E48" s="11" t="s">
        <v>143</v>
      </c>
      <c r="F48" s="11" t="s">
        <v>29</v>
      </c>
      <c r="G48" s="11" t="s">
        <v>30</v>
      </c>
      <c r="H48" s="11" t="s">
        <v>171</v>
      </c>
      <c r="I48" s="11" t="s">
        <v>172</v>
      </c>
      <c r="J48" s="14">
        <v>62</v>
      </c>
      <c r="K48" s="14">
        <v>75.400000000000006</v>
      </c>
      <c r="L48" s="14">
        <v>19.8</v>
      </c>
      <c r="M48" s="14">
        <f t="shared" si="4"/>
        <v>157.20000000000002</v>
      </c>
      <c r="N48" s="11">
        <v>57</v>
      </c>
      <c r="O48" s="11">
        <v>72</v>
      </c>
      <c r="P48" s="11">
        <v>111</v>
      </c>
      <c r="Q48" s="11">
        <v>104</v>
      </c>
      <c r="R48" s="11">
        <v>344</v>
      </c>
      <c r="S48" s="19">
        <f t="shared" si="3"/>
        <v>501.20000000000005</v>
      </c>
      <c r="T48" s="19"/>
      <c r="U48" s="19"/>
      <c r="V48" s="20"/>
      <c r="W48" s="20"/>
    </row>
    <row r="49" spans="1:23" s="2" customFormat="1" ht="30" customHeight="1" x14ac:dyDescent="0.25">
      <c r="A49" s="10" t="s">
        <v>173</v>
      </c>
      <c r="B49" s="11" t="s">
        <v>25</v>
      </c>
      <c r="C49" s="11" t="s">
        <v>26</v>
      </c>
      <c r="D49" s="11" t="s">
        <v>142</v>
      </c>
      <c r="E49" s="11" t="s">
        <v>143</v>
      </c>
      <c r="F49" s="11" t="s">
        <v>29</v>
      </c>
      <c r="G49" s="11" t="s">
        <v>30</v>
      </c>
      <c r="H49" s="11" t="s">
        <v>174</v>
      </c>
      <c r="I49" s="11" t="s">
        <v>175</v>
      </c>
      <c r="J49" s="14">
        <v>56.1</v>
      </c>
      <c r="K49" s="14">
        <v>78</v>
      </c>
      <c r="L49" s="14">
        <v>20.5</v>
      </c>
      <c r="M49" s="14">
        <f t="shared" si="4"/>
        <v>154.6</v>
      </c>
      <c r="N49" s="11">
        <v>64</v>
      </c>
      <c r="O49" s="11">
        <v>81</v>
      </c>
      <c r="P49" s="11">
        <v>105</v>
      </c>
      <c r="Q49" s="11">
        <v>94</v>
      </c>
      <c r="R49" s="11">
        <v>344</v>
      </c>
      <c r="S49" s="19">
        <f t="shared" si="3"/>
        <v>498.6</v>
      </c>
      <c r="T49" s="19"/>
      <c r="U49" s="19"/>
      <c r="V49" s="20"/>
      <c r="W49" s="20"/>
    </row>
    <row r="50" spans="1:23" s="2" customFormat="1" ht="30" customHeight="1" x14ac:dyDescent="0.25">
      <c r="A50" s="10" t="s">
        <v>176</v>
      </c>
      <c r="B50" s="11" t="s">
        <v>25</v>
      </c>
      <c r="C50" s="11" t="s">
        <v>26</v>
      </c>
      <c r="D50" s="11" t="s">
        <v>142</v>
      </c>
      <c r="E50" s="11" t="s">
        <v>143</v>
      </c>
      <c r="F50" s="11" t="s">
        <v>29</v>
      </c>
      <c r="G50" s="11" t="s">
        <v>30</v>
      </c>
      <c r="H50" s="11" t="s">
        <v>177</v>
      </c>
      <c r="I50" s="11" t="s">
        <v>178</v>
      </c>
      <c r="J50" s="14">
        <v>50</v>
      </c>
      <c r="K50" s="14">
        <v>77.8</v>
      </c>
      <c r="L50" s="14">
        <v>19.600000000000001</v>
      </c>
      <c r="M50" s="14">
        <f t="shared" si="4"/>
        <v>147.4</v>
      </c>
      <c r="N50" s="11">
        <v>62</v>
      </c>
      <c r="O50" s="11">
        <v>78</v>
      </c>
      <c r="P50" s="11">
        <v>108</v>
      </c>
      <c r="Q50" s="11">
        <v>102</v>
      </c>
      <c r="R50" s="11">
        <v>350</v>
      </c>
      <c r="S50" s="19">
        <f t="shared" si="3"/>
        <v>497.4</v>
      </c>
      <c r="T50" s="19"/>
      <c r="U50" s="19"/>
      <c r="V50" s="20"/>
      <c r="W50" s="20"/>
    </row>
    <row r="51" spans="1:23" s="2" customFormat="1" ht="30" customHeight="1" x14ac:dyDescent="0.25">
      <c r="A51" s="10" t="s">
        <v>179</v>
      </c>
      <c r="B51" s="11" t="s">
        <v>25</v>
      </c>
      <c r="C51" s="11" t="s">
        <v>26</v>
      </c>
      <c r="D51" s="11" t="s">
        <v>142</v>
      </c>
      <c r="E51" s="11" t="s">
        <v>143</v>
      </c>
      <c r="F51" s="11" t="s">
        <v>29</v>
      </c>
      <c r="G51" s="11" t="s">
        <v>30</v>
      </c>
      <c r="H51" s="11" t="s">
        <v>180</v>
      </c>
      <c r="I51" s="11" t="s">
        <v>181</v>
      </c>
      <c r="J51" s="14">
        <v>52.9</v>
      </c>
      <c r="K51" s="14">
        <v>77</v>
      </c>
      <c r="L51" s="14">
        <v>21.9</v>
      </c>
      <c r="M51" s="14">
        <f t="shared" si="4"/>
        <v>151.80000000000001</v>
      </c>
      <c r="N51" s="11">
        <v>68</v>
      </c>
      <c r="O51" s="11">
        <v>81</v>
      </c>
      <c r="P51" s="11">
        <v>97</v>
      </c>
      <c r="Q51" s="11">
        <v>98</v>
      </c>
      <c r="R51" s="11">
        <v>344</v>
      </c>
      <c r="S51" s="19">
        <f t="shared" si="3"/>
        <v>495.8</v>
      </c>
      <c r="T51" s="19"/>
      <c r="U51" s="19"/>
      <c r="V51" s="20"/>
      <c r="W51" s="20"/>
    </row>
    <row r="52" spans="1:23" s="2" customFormat="1" ht="30" customHeight="1" x14ac:dyDescent="0.25">
      <c r="A52" s="10" t="s">
        <v>182</v>
      </c>
      <c r="B52" s="11" t="s">
        <v>25</v>
      </c>
      <c r="C52" s="11" t="s">
        <v>26</v>
      </c>
      <c r="D52" s="11" t="s">
        <v>142</v>
      </c>
      <c r="E52" s="11" t="s">
        <v>143</v>
      </c>
      <c r="F52" s="11" t="s">
        <v>29</v>
      </c>
      <c r="G52" s="11" t="s">
        <v>30</v>
      </c>
      <c r="H52" s="11" t="s">
        <v>183</v>
      </c>
      <c r="I52" s="11" t="s">
        <v>184</v>
      </c>
      <c r="J52" s="14">
        <v>33.6</v>
      </c>
      <c r="K52" s="14">
        <v>77.599999999999994</v>
      </c>
      <c r="L52" s="14">
        <v>19.2</v>
      </c>
      <c r="M52" s="14">
        <f t="shared" si="4"/>
        <v>130.39999999999998</v>
      </c>
      <c r="N52" s="11">
        <v>59</v>
      </c>
      <c r="O52" s="11">
        <v>58</v>
      </c>
      <c r="P52" s="11">
        <v>127</v>
      </c>
      <c r="Q52" s="11">
        <v>100</v>
      </c>
      <c r="R52" s="11">
        <v>344</v>
      </c>
      <c r="S52" s="19">
        <f t="shared" si="3"/>
        <v>474.4</v>
      </c>
      <c r="T52" s="19"/>
      <c r="U52" s="19"/>
      <c r="V52" s="20"/>
      <c r="W52" s="20"/>
    </row>
    <row r="53" spans="1:23" s="2" customFormat="1" ht="30" customHeight="1" x14ac:dyDescent="0.25">
      <c r="A53" s="10" t="s">
        <v>185</v>
      </c>
      <c r="B53" s="11" t="s">
        <v>25</v>
      </c>
      <c r="C53" s="11" t="s">
        <v>26</v>
      </c>
      <c r="D53" s="11" t="s">
        <v>142</v>
      </c>
      <c r="E53" s="11" t="s">
        <v>143</v>
      </c>
      <c r="F53" s="11" t="s">
        <v>29</v>
      </c>
      <c r="G53" s="11" t="s">
        <v>30</v>
      </c>
      <c r="H53" s="11" t="s">
        <v>186</v>
      </c>
      <c r="I53" s="11" t="s">
        <v>187</v>
      </c>
      <c r="J53" s="15">
        <v>17</v>
      </c>
      <c r="K53" s="15">
        <v>71.400000000000006</v>
      </c>
      <c r="L53" s="15">
        <v>20</v>
      </c>
      <c r="M53" s="15">
        <f t="shared" si="4"/>
        <v>108.4</v>
      </c>
      <c r="N53" s="16">
        <v>56</v>
      </c>
      <c r="O53" s="16">
        <v>59</v>
      </c>
      <c r="P53" s="16">
        <v>130</v>
      </c>
      <c r="Q53" s="16">
        <v>120</v>
      </c>
      <c r="R53" s="16">
        <v>365</v>
      </c>
      <c r="S53" s="22">
        <f t="shared" si="3"/>
        <v>473.4</v>
      </c>
      <c r="T53" s="19"/>
      <c r="U53" s="22"/>
      <c r="V53" s="23"/>
      <c r="W53" s="24" t="s">
        <v>43</v>
      </c>
    </row>
    <row r="54" spans="1:23" s="2" customFormat="1" ht="30" customHeight="1" x14ac:dyDescent="0.25">
      <c r="A54" s="10" t="s">
        <v>188</v>
      </c>
      <c r="B54" s="11" t="s">
        <v>25</v>
      </c>
      <c r="C54" s="11" t="s">
        <v>26</v>
      </c>
      <c r="D54" s="11" t="s">
        <v>189</v>
      </c>
      <c r="E54" s="11" t="s">
        <v>190</v>
      </c>
      <c r="F54" s="11" t="s">
        <v>29</v>
      </c>
      <c r="G54" s="11" t="s">
        <v>30</v>
      </c>
      <c r="H54" s="11" t="s">
        <v>96</v>
      </c>
      <c r="I54" s="11" t="s">
        <v>97</v>
      </c>
      <c r="J54" s="14">
        <v>68.599999999999994</v>
      </c>
      <c r="K54" s="14">
        <v>81.2</v>
      </c>
      <c r="L54" s="14">
        <v>20</v>
      </c>
      <c r="M54" s="14">
        <f t="shared" si="4"/>
        <v>169.8</v>
      </c>
      <c r="N54" s="11">
        <v>67</v>
      </c>
      <c r="O54" s="11">
        <v>73</v>
      </c>
      <c r="P54" s="11">
        <v>117</v>
      </c>
      <c r="Q54" s="11">
        <v>112</v>
      </c>
      <c r="R54" s="11">
        <v>369</v>
      </c>
      <c r="S54" s="19">
        <f t="shared" si="3"/>
        <v>538.79999999999995</v>
      </c>
      <c r="T54" s="19"/>
      <c r="U54" s="19"/>
      <c r="V54" s="20"/>
      <c r="W54" s="21" t="s">
        <v>33</v>
      </c>
    </row>
    <row r="55" spans="1:23" s="2" customFormat="1" ht="30" customHeight="1" x14ac:dyDescent="0.25">
      <c r="A55" s="10" t="s">
        <v>191</v>
      </c>
      <c r="B55" s="11" t="s">
        <v>25</v>
      </c>
      <c r="C55" s="11" t="s">
        <v>26</v>
      </c>
      <c r="D55" s="11" t="s">
        <v>189</v>
      </c>
      <c r="E55" s="11" t="s">
        <v>190</v>
      </c>
      <c r="F55" s="11" t="s">
        <v>29</v>
      </c>
      <c r="G55" s="11" t="s">
        <v>30</v>
      </c>
      <c r="H55" s="11" t="s">
        <v>192</v>
      </c>
      <c r="I55" s="11" t="s">
        <v>193</v>
      </c>
      <c r="J55" s="14">
        <v>95.6</v>
      </c>
      <c r="K55" s="14">
        <v>79.8</v>
      </c>
      <c r="L55" s="14">
        <v>20.399999999999999</v>
      </c>
      <c r="M55" s="14">
        <f t="shared" si="4"/>
        <v>195.79999999999998</v>
      </c>
      <c r="N55" s="11">
        <v>71</v>
      </c>
      <c r="O55" s="11">
        <v>85</v>
      </c>
      <c r="P55" s="11">
        <v>108</v>
      </c>
      <c r="Q55" s="11">
        <v>78</v>
      </c>
      <c r="R55" s="11">
        <v>342</v>
      </c>
      <c r="S55" s="19">
        <f t="shared" si="3"/>
        <v>537.79999999999995</v>
      </c>
      <c r="T55" s="19"/>
      <c r="U55" s="19"/>
      <c r="V55" s="20"/>
      <c r="W55" s="21" t="s">
        <v>33</v>
      </c>
    </row>
    <row r="56" spans="1:23" s="2" customFormat="1" ht="30" customHeight="1" x14ac:dyDescent="0.25">
      <c r="A56" s="10" t="s">
        <v>194</v>
      </c>
      <c r="B56" s="11" t="s">
        <v>25</v>
      </c>
      <c r="C56" s="11" t="s">
        <v>26</v>
      </c>
      <c r="D56" s="11" t="s">
        <v>189</v>
      </c>
      <c r="E56" s="11" t="s">
        <v>190</v>
      </c>
      <c r="F56" s="11" t="s">
        <v>29</v>
      </c>
      <c r="G56" s="11" t="s">
        <v>30</v>
      </c>
      <c r="H56" s="11" t="s">
        <v>195</v>
      </c>
      <c r="I56" s="11" t="s">
        <v>196</v>
      </c>
      <c r="J56" s="14">
        <v>87.2</v>
      </c>
      <c r="K56" s="14">
        <v>71.400000000000006</v>
      </c>
      <c r="L56" s="14">
        <v>18.600000000000001</v>
      </c>
      <c r="M56" s="14">
        <f t="shared" si="4"/>
        <v>177.20000000000002</v>
      </c>
      <c r="N56" s="11">
        <v>71</v>
      </c>
      <c r="O56" s="11">
        <v>43</v>
      </c>
      <c r="P56" s="11">
        <v>122</v>
      </c>
      <c r="Q56" s="11">
        <v>109</v>
      </c>
      <c r="R56" s="11">
        <v>345</v>
      </c>
      <c r="S56" s="19">
        <f t="shared" si="3"/>
        <v>522.20000000000005</v>
      </c>
      <c r="T56" s="19"/>
      <c r="U56" s="19"/>
      <c r="V56" s="20"/>
      <c r="W56" s="21" t="s">
        <v>33</v>
      </c>
    </row>
    <row r="57" spans="1:23" s="2" customFormat="1" ht="30" customHeight="1" x14ac:dyDescent="0.25">
      <c r="A57" s="10" t="s">
        <v>197</v>
      </c>
      <c r="B57" s="11" t="s">
        <v>25</v>
      </c>
      <c r="C57" s="11" t="s">
        <v>26</v>
      </c>
      <c r="D57" s="11" t="s">
        <v>189</v>
      </c>
      <c r="E57" s="11" t="s">
        <v>190</v>
      </c>
      <c r="F57" s="11" t="s">
        <v>29</v>
      </c>
      <c r="G57" s="11" t="s">
        <v>30</v>
      </c>
      <c r="H57" s="11" t="s">
        <v>198</v>
      </c>
      <c r="I57" s="11" t="s">
        <v>199</v>
      </c>
      <c r="J57" s="14">
        <v>81</v>
      </c>
      <c r="K57" s="14">
        <v>81</v>
      </c>
      <c r="L57" s="14">
        <v>21</v>
      </c>
      <c r="M57" s="14">
        <f t="shared" si="4"/>
        <v>183</v>
      </c>
      <c r="N57" s="11">
        <v>60</v>
      </c>
      <c r="O57" s="11">
        <v>56</v>
      </c>
      <c r="P57" s="11">
        <v>107</v>
      </c>
      <c r="Q57" s="11">
        <v>114</v>
      </c>
      <c r="R57" s="11">
        <v>337</v>
      </c>
      <c r="S57" s="19">
        <f t="shared" si="3"/>
        <v>520</v>
      </c>
      <c r="T57" s="19"/>
      <c r="U57" s="19"/>
      <c r="V57" s="20"/>
      <c r="W57" s="21" t="s">
        <v>33</v>
      </c>
    </row>
    <row r="58" spans="1:23" s="2" customFormat="1" ht="30" customHeight="1" x14ac:dyDescent="0.25">
      <c r="A58" s="10" t="s">
        <v>200</v>
      </c>
      <c r="B58" s="11" t="s">
        <v>25</v>
      </c>
      <c r="C58" s="11" t="s">
        <v>26</v>
      </c>
      <c r="D58" s="11" t="s">
        <v>189</v>
      </c>
      <c r="E58" s="11" t="s">
        <v>190</v>
      </c>
      <c r="F58" s="11" t="s">
        <v>29</v>
      </c>
      <c r="G58" s="11" t="s">
        <v>30</v>
      </c>
      <c r="H58" s="11" t="s">
        <v>174</v>
      </c>
      <c r="I58" s="11" t="s">
        <v>175</v>
      </c>
      <c r="J58" s="14">
        <v>71.2</v>
      </c>
      <c r="K58" s="14">
        <v>77</v>
      </c>
      <c r="L58" s="14">
        <v>21</v>
      </c>
      <c r="M58" s="14">
        <f t="shared" si="4"/>
        <v>169.2</v>
      </c>
      <c r="N58" s="11">
        <v>64</v>
      </c>
      <c r="O58" s="11">
        <v>81</v>
      </c>
      <c r="P58" s="11">
        <v>105</v>
      </c>
      <c r="Q58" s="11">
        <v>94</v>
      </c>
      <c r="R58" s="11">
        <v>344</v>
      </c>
      <c r="S58" s="19">
        <f t="shared" si="3"/>
        <v>513.20000000000005</v>
      </c>
      <c r="T58" s="19"/>
      <c r="U58" s="19"/>
      <c r="V58" s="20"/>
      <c r="W58" s="21" t="s">
        <v>33</v>
      </c>
    </row>
    <row r="59" spans="1:23" s="2" customFormat="1" ht="30" customHeight="1" x14ac:dyDescent="0.25">
      <c r="A59" s="10" t="s">
        <v>201</v>
      </c>
      <c r="B59" s="11" t="s">
        <v>25</v>
      </c>
      <c r="C59" s="11" t="s">
        <v>26</v>
      </c>
      <c r="D59" s="11" t="s">
        <v>189</v>
      </c>
      <c r="E59" s="11" t="s">
        <v>190</v>
      </c>
      <c r="F59" s="11" t="s">
        <v>29</v>
      </c>
      <c r="G59" s="11" t="s">
        <v>30</v>
      </c>
      <c r="H59" s="11" t="s">
        <v>202</v>
      </c>
      <c r="I59" s="11" t="s">
        <v>203</v>
      </c>
      <c r="J59" s="15">
        <v>37</v>
      </c>
      <c r="K59" s="15">
        <v>72.2</v>
      </c>
      <c r="L59" s="15">
        <v>20</v>
      </c>
      <c r="M59" s="15">
        <f t="shared" si="4"/>
        <v>129.19999999999999</v>
      </c>
      <c r="N59" s="16">
        <v>70</v>
      </c>
      <c r="O59" s="16">
        <v>78</v>
      </c>
      <c r="P59" s="16">
        <v>105</v>
      </c>
      <c r="Q59" s="16">
        <v>118</v>
      </c>
      <c r="R59" s="16">
        <v>371</v>
      </c>
      <c r="S59" s="22">
        <f t="shared" si="3"/>
        <v>500.2</v>
      </c>
      <c r="T59" s="19"/>
      <c r="U59" s="22"/>
      <c r="V59" s="23"/>
      <c r="W59" s="24" t="s">
        <v>43</v>
      </c>
    </row>
    <row r="60" spans="1:23" s="2" customFormat="1" ht="30" customHeight="1" x14ac:dyDescent="0.25">
      <c r="A60" s="10" t="s">
        <v>204</v>
      </c>
      <c r="B60" s="11" t="s">
        <v>25</v>
      </c>
      <c r="C60" s="11" t="s">
        <v>26</v>
      </c>
      <c r="D60" s="11" t="s">
        <v>189</v>
      </c>
      <c r="E60" s="11" t="s">
        <v>190</v>
      </c>
      <c r="F60" s="11" t="s">
        <v>29</v>
      </c>
      <c r="G60" s="11" t="s">
        <v>30</v>
      </c>
      <c r="H60" s="11" t="s">
        <v>205</v>
      </c>
      <c r="I60" s="11" t="s">
        <v>206</v>
      </c>
      <c r="J60" s="14">
        <v>61</v>
      </c>
      <c r="K60" s="14">
        <v>70.599999999999994</v>
      </c>
      <c r="L60" s="14">
        <v>19.2</v>
      </c>
      <c r="M60" s="14">
        <f t="shared" si="4"/>
        <v>150.79999999999998</v>
      </c>
      <c r="N60" s="11">
        <v>68</v>
      </c>
      <c r="O60" s="11">
        <v>79</v>
      </c>
      <c r="P60" s="11">
        <v>104</v>
      </c>
      <c r="Q60" s="11">
        <v>98</v>
      </c>
      <c r="R60" s="11">
        <v>349</v>
      </c>
      <c r="S60" s="19">
        <f t="shared" si="3"/>
        <v>499.79999999999995</v>
      </c>
      <c r="T60" s="19"/>
      <c r="U60" s="19"/>
      <c r="V60" s="20"/>
      <c r="W60" s="20"/>
    </row>
    <row r="61" spans="1:23" s="2" customFormat="1" ht="30" customHeight="1" x14ac:dyDescent="0.25">
      <c r="A61" s="10" t="s">
        <v>207</v>
      </c>
      <c r="B61" s="11" t="s">
        <v>25</v>
      </c>
      <c r="C61" s="11" t="s">
        <v>26</v>
      </c>
      <c r="D61" s="11" t="s">
        <v>189</v>
      </c>
      <c r="E61" s="11" t="s">
        <v>190</v>
      </c>
      <c r="F61" s="11" t="s">
        <v>29</v>
      </c>
      <c r="G61" s="11" t="s">
        <v>30</v>
      </c>
      <c r="H61" s="11" t="s">
        <v>208</v>
      </c>
      <c r="I61" s="11" t="s">
        <v>209</v>
      </c>
      <c r="J61" s="14">
        <v>46.2</v>
      </c>
      <c r="K61" s="14">
        <v>78</v>
      </c>
      <c r="L61" s="14">
        <v>20.399999999999999</v>
      </c>
      <c r="M61" s="14">
        <f t="shared" si="4"/>
        <v>144.6</v>
      </c>
      <c r="N61" s="11">
        <v>64</v>
      </c>
      <c r="O61" s="11">
        <v>80</v>
      </c>
      <c r="P61" s="11">
        <v>107</v>
      </c>
      <c r="Q61" s="11">
        <v>88</v>
      </c>
      <c r="R61" s="11">
        <v>339</v>
      </c>
      <c r="S61" s="19">
        <f t="shared" si="3"/>
        <v>483.6</v>
      </c>
      <c r="T61" s="19"/>
      <c r="U61" s="19"/>
      <c r="V61" s="20"/>
      <c r="W61" s="20"/>
    </row>
    <row r="62" spans="1:23" s="2" customFormat="1" ht="30" customHeight="1" x14ac:dyDescent="0.25">
      <c r="A62" s="10" t="s">
        <v>210</v>
      </c>
      <c r="B62" s="11" t="s">
        <v>25</v>
      </c>
      <c r="C62" s="11" t="s">
        <v>26</v>
      </c>
      <c r="D62" s="11" t="s">
        <v>189</v>
      </c>
      <c r="E62" s="11" t="s">
        <v>190</v>
      </c>
      <c r="F62" s="11" t="s">
        <v>29</v>
      </c>
      <c r="G62" s="11" t="s">
        <v>30</v>
      </c>
      <c r="H62" s="11" t="s">
        <v>211</v>
      </c>
      <c r="I62" s="11" t="s">
        <v>212</v>
      </c>
      <c r="J62" s="14">
        <v>56.2</v>
      </c>
      <c r="K62" s="14">
        <v>71.2</v>
      </c>
      <c r="L62" s="14">
        <v>18.399999999999999</v>
      </c>
      <c r="M62" s="14">
        <f t="shared" si="4"/>
        <v>145.80000000000001</v>
      </c>
      <c r="N62" s="11">
        <v>72</v>
      </c>
      <c r="O62" s="11">
        <v>66</v>
      </c>
      <c r="P62" s="11">
        <v>96</v>
      </c>
      <c r="Q62" s="11">
        <v>103</v>
      </c>
      <c r="R62" s="11">
        <v>337</v>
      </c>
      <c r="S62" s="19">
        <f t="shared" si="3"/>
        <v>482.8</v>
      </c>
      <c r="T62" s="19"/>
      <c r="U62" s="19"/>
      <c r="V62" s="20"/>
      <c r="W62" s="20"/>
    </row>
    <row r="63" spans="1:23" s="2" customFormat="1" ht="30" customHeight="1" x14ac:dyDescent="0.25">
      <c r="A63" s="10" t="s">
        <v>213</v>
      </c>
      <c r="B63" s="11" t="s">
        <v>25</v>
      </c>
      <c r="C63" s="11" t="s">
        <v>26</v>
      </c>
      <c r="D63" s="11" t="s">
        <v>189</v>
      </c>
      <c r="E63" s="11" t="s">
        <v>190</v>
      </c>
      <c r="F63" s="11" t="s">
        <v>29</v>
      </c>
      <c r="G63" s="11" t="s">
        <v>30</v>
      </c>
      <c r="H63" s="11" t="s">
        <v>214</v>
      </c>
      <c r="I63" s="11" t="s">
        <v>215</v>
      </c>
      <c r="J63" s="14">
        <v>50</v>
      </c>
      <c r="K63" s="14">
        <v>72.400000000000006</v>
      </c>
      <c r="L63" s="14">
        <v>18</v>
      </c>
      <c r="M63" s="14">
        <f t="shared" si="4"/>
        <v>140.4</v>
      </c>
      <c r="N63" s="11">
        <v>67</v>
      </c>
      <c r="O63" s="11">
        <v>56</v>
      </c>
      <c r="P63" s="11">
        <v>112</v>
      </c>
      <c r="Q63" s="11">
        <v>102</v>
      </c>
      <c r="R63" s="11">
        <v>337</v>
      </c>
      <c r="S63" s="19">
        <f t="shared" si="3"/>
        <v>477.4</v>
      </c>
      <c r="T63" s="19"/>
      <c r="U63" s="19"/>
      <c r="V63" s="20"/>
      <c r="W63" s="20"/>
    </row>
    <row r="64" spans="1:23" s="2" customFormat="1" ht="30" customHeight="1" x14ac:dyDescent="0.25">
      <c r="A64" s="10" t="s">
        <v>216</v>
      </c>
      <c r="B64" s="11" t="s">
        <v>25</v>
      </c>
      <c r="C64" s="11" t="s">
        <v>26</v>
      </c>
      <c r="D64" s="11" t="s">
        <v>189</v>
      </c>
      <c r="E64" s="11" t="s">
        <v>190</v>
      </c>
      <c r="F64" s="11" t="s">
        <v>29</v>
      </c>
      <c r="G64" s="11" t="s">
        <v>30</v>
      </c>
      <c r="H64" s="11" t="s">
        <v>217</v>
      </c>
      <c r="I64" s="11" t="s">
        <v>218</v>
      </c>
      <c r="J64" s="14">
        <v>38.4</v>
      </c>
      <c r="K64" s="14">
        <v>75.2</v>
      </c>
      <c r="L64" s="14">
        <v>18.399999999999999</v>
      </c>
      <c r="M64" s="14">
        <f t="shared" si="4"/>
        <v>132</v>
      </c>
      <c r="N64" s="11">
        <v>73</v>
      </c>
      <c r="O64" s="11">
        <v>54</v>
      </c>
      <c r="P64" s="11">
        <v>113</v>
      </c>
      <c r="Q64" s="11">
        <v>101</v>
      </c>
      <c r="R64" s="11">
        <v>341</v>
      </c>
      <c r="S64" s="19">
        <f t="shared" si="3"/>
        <v>473</v>
      </c>
      <c r="T64" s="19"/>
      <c r="U64" s="19"/>
      <c r="V64" s="20"/>
      <c r="W64" s="20"/>
    </row>
    <row r="65" spans="1:23" s="2" customFormat="1" ht="30" customHeight="1" x14ac:dyDescent="0.25">
      <c r="A65" s="10" t="s">
        <v>219</v>
      </c>
      <c r="B65" s="11" t="s">
        <v>25</v>
      </c>
      <c r="C65" s="11" t="s">
        <v>26</v>
      </c>
      <c r="D65" s="11" t="s">
        <v>189</v>
      </c>
      <c r="E65" s="11" t="s">
        <v>190</v>
      </c>
      <c r="F65" s="11" t="s">
        <v>29</v>
      </c>
      <c r="G65" s="11" t="s">
        <v>30</v>
      </c>
      <c r="H65" s="11" t="s">
        <v>220</v>
      </c>
      <c r="I65" s="11" t="s">
        <v>221</v>
      </c>
      <c r="J65" s="15">
        <v>40</v>
      </c>
      <c r="K65" s="15">
        <v>67</v>
      </c>
      <c r="L65" s="15">
        <v>18.2</v>
      </c>
      <c r="M65" s="15">
        <f t="shared" si="4"/>
        <v>125.2</v>
      </c>
      <c r="N65" s="16">
        <v>74</v>
      </c>
      <c r="O65" s="16">
        <v>78</v>
      </c>
      <c r="P65" s="16">
        <v>102</v>
      </c>
      <c r="Q65" s="16">
        <v>88</v>
      </c>
      <c r="R65" s="16">
        <v>342</v>
      </c>
      <c r="S65" s="22">
        <f t="shared" si="3"/>
        <v>467.2</v>
      </c>
      <c r="T65" s="19"/>
      <c r="U65" s="22"/>
      <c r="V65" s="23"/>
      <c r="W65" s="24" t="s">
        <v>43</v>
      </c>
    </row>
    <row r="66" spans="1:23" s="2" customFormat="1" ht="30" customHeight="1" x14ac:dyDescent="0.25">
      <c r="A66" s="10" t="s">
        <v>222</v>
      </c>
      <c r="B66" s="11" t="s">
        <v>25</v>
      </c>
      <c r="C66" s="11" t="s">
        <v>26</v>
      </c>
      <c r="D66" s="11" t="s">
        <v>189</v>
      </c>
      <c r="E66" s="11" t="s">
        <v>190</v>
      </c>
      <c r="F66" s="11" t="s">
        <v>29</v>
      </c>
      <c r="G66" s="11" t="s">
        <v>30</v>
      </c>
      <c r="H66" s="11" t="s">
        <v>223</v>
      </c>
      <c r="I66" s="11" t="s">
        <v>224</v>
      </c>
      <c r="J66" s="15">
        <v>38.200000000000003</v>
      </c>
      <c r="K66" s="15">
        <v>66.400000000000006</v>
      </c>
      <c r="L66" s="15">
        <v>18.8</v>
      </c>
      <c r="M66" s="15">
        <f t="shared" si="4"/>
        <v>123.4</v>
      </c>
      <c r="N66" s="16">
        <v>64</v>
      </c>
      <c r="O66" s="16">
        <v>69</v>
      </c>
      <c r="P66" s="16">
        <v>108</v>
      </c>
      <c r="Q66" s="16">
        <v>100</v>
      </c>
      <c r="R66" s="16">
        <v>341</v>
      </c>
      <c r="S66" s="22">
        <f t="shared" si="3"/>
        <v>464.4</v>
      </c>
      <c r="T66" s="19"/>
      <c r="U66" s="22"/>
      <c r="V66" s="23"/>
      <c r="W66" s="24" t="s">
        <v>43</v>
      </c>
    </row>
    <row r="67" spans="1:23" s="2" customFormat="1" ht="30" customHeight="1" x14ac:dyDescent="0.25">
      <c r="A67" s="10" t="s">
        <v>225</v>
      </c>
      <c r="B67" s="11" t="s">
        <v>25</v>
      </c>
      <c r="C67" s="11" t="s">
        <v>26</v>
      </c>
      <c r="D67" s="11" t="s">
        <v>189</v>
      </c>
      <c r="E67" s="11" t="s">
        <v>190</v>
      </c>
      <c r="F67" s="11" t="s">
        <v>29</v>
      </c>
      <c r="G67" s="11" t="s">
        <v>30</v>
      </c>
      <c r="H67" s="11" t="s">
        <v>226</v>
      </c>
      <c r="I67" s="11" t="s">
        <v>227</v>
      </c>
      <c r="J67" s="15">
        <v>23</v>
      </c>
      <c r="K67" s="15">
        <v>65.2</v>
      </c>
      <c r="L67" s="15">
        <v>17.2</v>
      </c>
      <c r="M67" s="15">
        <f t="shared" si="4"/>
        <v>105.4</v>
      </c>
      <c r="N67" s="16">
        <v>66</v>
      </c>
      <c r="O67" s="16">
        <v>72</v>
      </c>
      <c r="P67" s="16">
        <v>102</v>
      </c>
      <c r="Q67" s="16">
        <v>116</v>
      </c>
      <c r="R67" s="16">
        <v>356</v>
      </c>
      <c r="S67" s="22">
        <f t="shared" ref="S67:S68" si="5">M67+R67</f>
        <v>461.4</v>
      </c>
      <c r="T67" s="19"/>
      <c r="U67" s="22"/>
      <c r="V67" s="23"/>
      <c r="W67" s="24" t="s">
        <v>43</v>
      </c>
    </row>
    <row r="68" spans="1:23" s="2" customFormat="1" ht="30" customHeight="1" x14ac:dyDescent="0.25">
      <c r="A68" s="10" t="s">
        <v>228</v>
      </c>
      <c r="B68" s="11" t="s">
        <v>25</v>
      </c>
      <c r="C68" s="11" t="s">
        <v>26</v>
      </c>
      <c r="D68" s="11" t="s">
        <v>189</v>
      </c>
      <c r="E68" s="11" t="s">
        <v>190</v>
      </c>
      <c r="F68" s="11" t="s">
        <v>29</v>
      </c>
      <c r="G68" s="11" t="s">
        <v>30</v>
      </c>
      <c r="H68" s="11" t="s">
        <v>229</v>
      </c>
      <c r="I68" s="11" t="s">
        <v>230</v>
      </c>
      <c r="J68" s="15">
        <v>0</v>
      </c>
      <c r="K68" s="15">
        <v>66.400000000000006</v>
      </c>
      <c r="L68" s="15">
        <v>18.2</v>
      </c>
      <c r="M68" s="15">
        <f t="shared" si="4"/>
        <v>84.600000000000009</v>
      </c>
      <c r="N68" s="16">
        <v>71</v>
      </c>
      <c r="O68" s="16">
        <v>81</v>
      </c>
      <c r="P68" s="16">
        <v>100</v>
      </c>
      <c r="Q68" s="16">
        <v>107</v>
      </c>
      <c r="R68" s="16">
        <v>359</v>
      </c>
      <c r="S68" s="22">
        <f t="shared" si="5"/>
        <v>443.6</v>
      </c>
      <c r="T68" s="19"/>
      <c r="U68" s="22"/>
      <c r="V68" s="23"/>
      <c r="W68" s="24" t="s">
        <v>43</v>
      </c>
    </row>
    <row r="69" spans="1:23" ht="101.5" customHeight="1" x14ac:dyDescent="0.25">
      <c r="A69" s="27" t="s">
        <v>231</v>
      </c>
      <c r="B69" s="27"/>
      <c r="C69" s="27"/>
      <c r="D69" s="27"/>
      <c r="E69" s="27"/>
      <c r="F69" s="27"/>
      <c r="G69" s="27"/>
      <c r="H69" s="27"/>
      <c r="I69" s="27"/>
      <c r="J69" s="27"/>
      <c r="K69" s="27"/>
      <c r="L69" s="27"/>
      <c r="M69" s="27"/>
      <c r="N69" s="27"/>
      <c r="O69" s="27"/>
      <c r="P69" s="27"/>
      <c r="Q69" s="27"/>
      <c r="R69" s="27"/>
      <c r="S69" s="27"/>
      <c r="T69" s="27"/>
      <c r="U69" s="27"/>
      <c r="V69" s="28"/>
      <c r="W69" s="28"/>
    </row>
  </sheetData>
  <sortState ref="A3:W68">
    <sortCondition ref="D3:D68"/>
    <sortCondition descending="1" ref="S3:S68"/>
    <sortCondition descending="1" ref="R3:R68"/>
    <sortCondition descending="1" ref="O3:O68"/>
  </sortState>
  <mergeCells count="2">
    <mergeCell ref="A1:W1"/>
    <mergeCell ref="A69:W69"/>
  </mergeCells>
  <phoneticPr fontId="11" type="noConversion"/>
  <printOptions horizontalCentered="1" verticalCentered="1"/>
  <pageMargins left="0.15748031496063" right="0.15748031496063" top="0.98425196850393704" bottom="0.98425196850393704" header="0.511811023622047" footer="0.511811023622047"/>
  <pageSetup paperSize="9" scale="93"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HP</cp:lastModifiedBy>
  <cp:lastPrinted>2024-04-10T02:29:05Z</cp:lastPrinted>
  <dcterms:created xsi:type="dcterms:W3CDTF">2023-03-24T12:11:00Z</dcterms:created>
  <dcterms:modified xsi:type="dcterms:W3CDTF">2024-04-10T02:29:08Z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A5073FE20ADC4A9DAB667EE7B8627B5F_13</vt:lpwstr>
  </property>
  <property fmtid="{D5CDD505-2E9C-101B-9397-08002B2CF9AE}" pid="3" name="KSOProductBuildVer">
    <vt:lpwstr>2052-12.1.0.16388</vt:lpwstr>
  </property>
  <property fmtid="{D5CDD505-2E9C-101B-9397-08002B2CF9AE}" pid="4" name="KSOReadingLayout">
    <vt:bool>true</vt:bool>
  </property>
</Properties>
</file>