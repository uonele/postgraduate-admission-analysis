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8680" yWindow="-120" windowWidth="29020" windowHeight="15840"/>
  </bookViews>
  <sheets>
    <sheet name="Sheet1" sheetId="1" r:id="rId1"/>
  </sheets>
  <definedNames>
    <definedName name="_xlnm._FilterDatabase" localSheetId="0" hidden="1">Sheet1!$A$2:$W$16</definedName>
    <definedName name="_xlnm.Print_Area" localSheetId="0">Sheet1!$A$1:$W$26</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5" i="1" l="1"/>
  <c r="S24" i="1"/>
  <c r="S23" i="1"/>
  <c r="S22" i="1"/>
  <c r="S21" i="1"/>
  <c r="S20" i="1"/>
  <c r="S19" i="1"/>
  <c r="S18" i="1"/>
  <c r="S17" i="1"/>
  <c r="S15" i="1" l="1"/>
  <c r="S16" i="1"/>
</calcChain>
</file>

<file path=xl/sharedStrings.xml><?xml version="1.0" encoding="utf-8"?>
<sst xmlns="http://schemas.openxmlformats.org/spreadsheetml/2006/main" count="233" uniqueCount="90">
  <si>
    <t>学院代码</t>
  </si>
  <si>
    <t>学院名称</t>
  </si>
  <si>
    <t>专业  代码</t>
  </si>
  <si>
    <t>专业名称</t>
  </si>
  <si>
    <t>研究方向</t>
  </si>
  <si>
    <t>就业  方式</t>
  </si>
  <si>
    <t>姓名</t>
  </si>
  <si>
    <t>考生编号</t>
  </si>
  <si>
    <t>复试科目</t>
  </si>
  <si>
    <t>综合考核</t>
  </si>
  <si>
    <t>外语能力</t>
  </si>
  <si>
    <t>复试总成绩</t>
  </si>
  <si>
    <t>政治理论初试成绩</t>
  </si>
  <si>
    <t>外国语初试成绩</t>
  </si>
  <si>
    <t>业务课一初试成绩</t>
  </si>
  <si>
    <t>业务课二初试成绩</t>
  </si>
  <si>
    <t>初试总成绩</t>
  </si>
  <si>
    <t>最终总成绩</t>
  </si>
  <si>
    <t>同等学力加试1</t>
  </si>
  <si>
    <t>同等学力加试2</t>
  </si>
  <si>
    <t>备注</t>
  </si>
  <si>
    <t>待录取结果</t>
  </si>
  <si>
    <t>序号</t>
    <phoneticPr fontId="3" type="noConversion"/>
  </si>
  <si>
    <t xml:space="preserve">注：1.表中“待录取结果”中包含“是”、“否”和空白内容。“是”表示考生已被待录取；“否”表示考生复试总成绩或综合考核成绩或同等学力考生加试成绩未达到学校成绩合格标准等情况，不能被待录取；“空白”表示考生的总成绩排名在分专业招生计划以外，未获得待录取资格，如已被待录取的考生放弃待录取资格或已被其他志愿待录取等空出计划名额时，学校将按照总成绩排名依次候补待录取。                                                                                                   
2.学校如发现公布的考生信息或结果有问题，将及时更正，并联系相关考生。                                                                                                                                                     3.学校2025年硕士研究生招生复试工作完成后，将统一公示拟录取结果。                                                                                                                                                   </t>
    <phoneticPr fontId="3" type="noConversion"/>
  </si>
  <si>
    <t>006</t>
  </si>
  <si>
    <t>航运经济与管理学院</t>
  </si>
  <si>
    <t>125100</t>
  </si>
  <si>
    <t>工商管理</t>
  </si>
  <si>
    <t>102245125100168</t>
  </si>
  <si>
    <t>赵维君</t>
  </si>
  <si>
    <t>101735200005853</t>
  </si>
  <si>
    <t>马致远</t>
  </si>
  <si>
    <t>100945132407042</t>
  </si>
  <si>
    <t>117995204001959</t>
  </si>
  <si>
    <t>101835219431252</t>
  </si>
  <si>
    <t>苏炀恒</t>
  </si>
  <si>
    <t>118325125100402</t>
  </si>
  <si>
    <t>冯源</t>
  </si>
  <si>
    <t>100945130200540</t>
  </si>
  <si>
    <t>吴嘉琪</t>
  </si>
  <si>
    <t>102005210305217</t>
  </si>
  <si>
    <t>刘振方</t>
  </si>
  <si>
    <t>102165005070596</t>
  </si>
  <si>
    <t>肖倩</t>
  </si>
  <si>
    <t>104755125100284</t>
  </si>
  <si>
    <t>王宏亮</t>
  </si>
  <si>
    <t>144305087000756</t>
  </si>
  <si>
    <t>姜天浩</t>
  </si>
  <si>
    <t>100755012005293</t>
  </si>
  <si>
    <t>石凯</t>
  </si>
  <si>
    <t>101835212933207</t>
  </si>
  <si>
    <t>102005210305200</t>
  </si>
  <si>
    <t>定向</t>
    <phoneticPr fontId="3" type="noConversion"/>
  </si>
  <si>
    <t>00</t>
    <phoneticPr fontId="3" type="noConversion"/>
  </si>
  <si>
    <t>三支一扶初试加10分</t>
    <phoneticPr fontId="3" type="noConversion"/>
  </si>
  <si>
    <t>是</t>
    <phoneticPr fontId="3" type="noConversion"/>
  </si>
  <si>
    <t>否</t>
    <phoneticPr fontId="3" type="noConversion"/>
  </si>
  <si>
    <t>放弃</t>
    <phoneticPr fontId="3" type="noConversion"/>
  </si>
  <si>
    <t>邵懿</t>
    <phoneticPr fontId="3" type="noConversion"/>
  </si>
  <si>
    <t>范翼瑶</t>
    <phoneticPr fontId="3" type="noConversion"/>
  </si>
  <si>
    <t>孟钰</t>
    <phoneticPr fontId="3" type="noConversion"/>
  </si>
  <si>
    <t>杨铭</t>
    <phoneticPr fontId="3" type="noConversion"/>
  </si>
  <si>
    <t>大连海事大学剩余计划调剂复试成绩及待录取结果（4月11日复试）</t>
    <phoneticPr fontId="3" type="noConversion"/>
  </si>
  <si>
    <t>010</t>
  </si>
  <si>
    <t>法学院</t>
  </si>
  <si>
    <t>035101</t>
  </si>
  <si>
    <t>法律（非法学）</t>
  </si>
  <si>
    <t>00</t>
    <phoneticPr fontId="3" type="noConversion"/>
  </si>
  <si>
    <t>定向</t>
    <phoneticPr fontId="3" type="noConversion"/>
  </si>
  <si>
    <t>李婷婷</t>
  </si>
  <si>
    <t>103355000918207</t>
  </si>
  <si>
    <t>是</t>
    <phoneticPr fontId="3" type="noConversion"/>
  </si>
  <si>
    <t>张慧娇</t>
  </si>
  <si>
    <t>105305410503283</t>
  </si>
  <si>
    <t>孟爽爽</t>
  </si>
  <si>
    <t>104755035110629</t>
  </si>
  <si>
    <t>高雅琪</t>
    <phoneticPr fontId="3" type="noConversion"/>
  </si>
  <si>
    <t>105595260001739</t>
  </si>
  <si>
    <t>放弃</t>
    <phoneticPr fontId="3" type="noConversion"/>
  </si>
  <si>
    <t>韩旭东</t>
    <phoneticPr fontId="3" type="noConversion"/>
  </si>
  <si>
    <t>101755000000885</t>
  </si>
  <si>
    <t>孙境心</t>
  </si>
  <si>
    <t>103195320802685</t>
  </si>
  <si>
    <t>张欣宇</t>
  </si>
  <si>
    <t>102865320203779</t>
  </si>
  <si>
    <t>否</t>
    <phoneticPr fontId="3" type="noConversion"/>
  </si>
  <si>
    <t>孟琪</t>
  </si>
  <si>
    <t>102845210521687</t>
  </si>
  <si>
    <t>张瑜</t>
  </si>
  <si>
    <t>106525203510357</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</si>
</sst>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_);[Red]\(0.0\)"/>
    <numFmt numFmtId="177" formatCode="0.0_ "/>
    <numFmt numFmtId="178" formatCode="0_);[Red]\(0\)"/>
  </numFmts>
  <fonts count="11">
    <font>
      <sz val="11"/>
      <color theme="1"/>
      <name val="宋体"/>
      <charset val="134"/>
      <scheme val="minor"/>
    </font>
    <font>
      <sz val="9"/>
      <color theme="1"/>
      <name val="宋体"/>
      <charset val="134"/>
      <scheme val="minor"/>
    </font>
    <font>
      <sz val="10"/>
      <name val="Arial"/>
      <family val="2"/>
    </font>
    <font>
      <sz val="9"/>
      <name val="宋体"/>
      <charset val="134"/>
      <scheme val="minor"/>
    </font>
    <font>
      <sz val="9"/>
      <name val="宋体"/>
      <family val="3"/>
      <charset val="134"/>
    </font>
    <font>
      <sz val="9"/>
      <color theme="1"/>
      <name val="宋体"/>
      <family val="3"/>
      <charset val="134"/>
      <scheme val="minor"/>
    </font>
    <font>
      <sz val="14"/>
      <name val="黑体"/>
      <family val="3"/>
      <charset val="134"/>
    </font>
    <font>
      <sz val="9"/>
      <name val="仿宋"/>
      <family val="3"/>
      <charset val="134"/>
    </font>
    <font>
      <sz val="9"/>
      <name val="宋体"/>
      <family val="3"/>
      <charset val="134"/>
      <scheme val="minor"/>
    </font>
    <font>
      <sz val="10"/>
      <name val="宋体"/>
      <family val="3"/>
      <charset val="134"/>
    </font>
    <font>
      <sz val="11"/>
      <name val="宋体"/>
      <family val="3"/>
      <charset val="134"/>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2" fillId="0" borderId="0"/>
  </cellStyleXfs>
  <cellXfs count="21">
    <xf numFmtId="0" fontId="0" fillId="0" borderId="0" xfId="0">
      <alignment vertical="center"/>
    </xf>
    <xf numFmtId="0" fontId="0" fillId="2" borderId="0" xfId="0" applyFill="1">
      <alignment vertical="center"/>
    </xf>
    <xf numFmtId="0" fontId="7" fillId="2" borderId="1" xfId="0" applyFont="1" applyFill="1" applyBorder="1" applyAlignment="1">
      <alignment horizontal="center" vertical="center" wrapText="1"/>
    </xf>
    <xf numFmtId="49" fontId="7" fillId="2" borderId="1" xfId="0" applyNumberFormat="1" applyFont="1" applyFill="1" applyBorder="1" applyAlignment="1">
      <alignment horizontal="center" vertical="center" wrapText="1"/>
    </xf>
    <xf numFmtId="176" fontId="7" fillId="2" borderId="1" xfId="0" applyNumberFormat="1" applyFont="1" applyFill="1" applyBorder="1" applyAlignment="1">
      <alignment horizontal="center" vertical="center" wrapText="1"/>
    </xf>
    <xf numFmtId="178" fontId="7" fillId="2" borderId="1" xfId="0" applyNumberFormat="1" applyFont="1" applyFill="1" applyBorder="1" applyAlignment="1">
      <alignment horizontal="center" vertical="center" wrapText="1"/>
    </xf>
    <xf numFmtId="177" fontId="7" fillId="2" borderId="1" xfId="0" applyNumberFormat="1" applyFont="1" applyFill="1" applyBorder="1" applyAlignment="1">
      <alignment horizontal="center" vertical="center" wrapText="1"/>
    </xf>
    <xf numFmtId="0" fontId="1" fillId="2" borderId="0" xfId="0" applyFont="1" applyFill="1" applyAlignment="1">
      <alignment horizontal="center" vertical="center"/>
    </xf>
    <xf numFmtId="0" fontId="8" fillId="2" borderId="1" xfId="0"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177" fontId="8"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0" xfId="0" applyFont="1" applyFill="1" applyAlignment="1">
      <alignment horizontal="center" vertical="center" wrapText="1"/>
    </xf>
    <xf numFmtId="0" fontId="2" fillId="2" borderId="0" xfId="0" applyFont="1" applyFill="1" applyAlignment="1">
      <alignment horizontal="center" vertical="center" wrapText="1"/>
    </xf>
    <xf numFmtId="49" fontId="2" fillId="2" borderId="0" xfId="0" applyNumberFormat="1" applyFont="1" applyFill="1" applyAlignment="1">
      <alignment horizontal="center" vertical="center" wrapText="1"/>
    </xf>
    <xf numFmtId="176" fontId="2" fillId="2" borderId="0" xfId="0" applyNumberFormat="1" applyFont="1" applyFill="1" applyAlignment="1">
      <alignment horizontal="center" vertical="center" wrapText="1"/>
    </xf>
    <xf numFmtId="177" fontId="2" fillId="2" borderId="0" xfId="0" applyNumberFormat="1" applyFont="1" applyFill="1" applyAlignment="1">
      <alignment horizontal="center" vertical="center" wrapText="1"/>
    </xf>
    <xf numFmtId="178" fontId="2" fillId="2" borderId="0" xfId="0" applyNumberFormat="1" applyFont="1" applyFill="1" applyAlignment="1">
      <alignment horizontal="center" vertical="center" wrapText="1"/>
    </xf>
    <xf numFmtId="0" fontId="6" fillId="2" borderId="0"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10" fillId="2" borderId="1" xfId="0" applyFont="1" applyFill="1" applyBorder="1" applyAlignment="1">
      <alignment horizontal="left" vertical="center"/>
    </xf>
  </cellXfs>
  <cellStyles count="2">
    <cellStyle name="常规"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26"/>
  <sheetViews>
    <sheetView tabSelected="1" view="pageBreakPreview" zoomScale="115" zoomScaleNormal="100" zoomScaleSheetLayoutView="115" workbookViewId="0">
      <pane ySplit="2" topLeftCell="A3" activePane="bottomLeft" state="frozen"/>
      <selection pane="bottomLeft" activeCell="K7" sqref="K7"/>
    </sheetView>
  </sheetViews>
  <sheetFormatPr defaultColWidth="9" defaultRowHeight="14"/>
  <cols>
    <col min="1" max="1" width="5.08984375" style="1" customWidth="1"/>
    <col min="2" max="2" width="4.7265625" style="1" customWidth="1"/>
    <col min="3" max="3" width="15" style="1" customWidth="1"/>
    <col min="4" max="4" width="6.08984375" style="13" customWidth="1"/>
    <col min="5" max="5" width="16.453125" style="13" customWidth="1"/>
    <col min="6" max="6" width="4.6328125" style="13" customWidth="1"/>
    <col min="7" max="7" width="5.7265625" style="13" customWidth="1"/>
    <col min="8" max="8" width="6.26953125" style="13" customWidth="1"/>
    <col min="9" max="9" width="14" style="14" customWidth="1"/>
    <col min="10" max="10" width="8.90625" style="15" customWidth="1"/>
    <col min="11" max="11" width="6.7265625" style="15" customWidth="1"/>
    <col min="12" max="12" width="6.453125" style="15" customWidth="1"/>
    <col min="13" max="13" width="7" style="15" customWidth="1"/>
    <col min="14" max="14" width="5.08984375" style="16" customWidth="1"/>
    <col min="15" max="17" width="5" style="15"/>
    <col min="18" max="18" width="5.36328125" style="17" customWidth="1"/>
    <col min="19" max="19" width="6.08984375" style="15" customWidth="1"/>
    <col min="20" max="20" width="4.453125" style="15" customWidth="1"/>
    <col min="21" max="21" width="4.7265625" style="15" customWidth="1"/>
    <col min="22" max="22" width="9.36328125" style="16" customWidth="1"/>
    <col min="23" max="23" width="7.6328125" style="16" customWidth="1"/>
    <col min="24" max="16384" width="9" style="1"/>
  </cols>
  <sheetData>
    <row r="1" spans="1:23" ht="25" customHeight="1">
      <c r="A1" s="18" t="s">
        <v>62</v>
      </c>
      <c r="B1" s="18"/>
      <c r="C1" s="18"/>
      <c r="D1" s="18"/>
      <c r="E1" s="18"/>
      <c r="F1" s="18"/>
      <c r="G1" s="18"/>
      <c r="H1" s="18"/>
      <c r="I1" s="18"/>
      <c r="J1" s="18"/>
      <c r="K1" s="18"/>
      <c r="L1" s="18"/>
      <c r="M1" s="18"/>
      <c r="N1" s="18"/>
      <c r="O1" s="18"/>
      <c r="P1" s="18"/>
      <c r="Q1" s="18"/>
      <c r="R1" s="18"/>
      <c r="S1" s="18"/>
      <c r="T1" s="18"/>
      <c r="U1" s="18"/>
      <c r="V1" s="18"/>
      <c r="W1" s="18"/>
    </row>
    <row r="2" spans="1:23" s="7" customFormat="1" ht="48">
      <c r="A2" s="2" t="s">
        <v>22</v>
      </c>
      <c r="B2" s="2" t="s">
        <v>0</v>
      </c>
      <c r="C2" s="2" t="s">
        <v>1</v>
      </c>
      <c r="D2" s="2" t="s">
        <v>2</v>
      </c>
      <c r="E2" s="2" t="s">
        <v>3</v>
      </c>
      <c r="F2" s="2" t="s">
        <v>4</v>
      </c>
      <c r="G2" s="2" t="s">
        <v>5</v>
      </c>
      <c r="H2" s="2" t="s">
        <v>6</v>
      </c>
      <c r="I2" s="3" t="s">
        <v>7</v>
      </c>
      <c r="J2" s="4" t="s">
        <v>8</v>
      </c>
      <c r="K2" s="4" t="s">
        <v>9</v>
      </c>
      <c r="L2" s="4" t="s">
        <v>10</v>
      </c>
      <c r="M2" s="4" t="s">
        <v>11</v>
      </c>
      <c r="N2" s="4" t="s">
        <v>12</v>
      </c>
      <c r="O2" s="4" t="s">
        <v>13</v>
      </c>
      <c r="P2" s="4" t="s">
        <v>14</v>
      </c>
      <c r="Q2" s="4" t="s">
        <v>15</v>
      </c>
      <c r="R2" s="5" t="s">
        <v>16</v>
      </c>
      <c r="S2" s="4" t="s">
        <v>17</v>
      </c>
      <c r="T2" s="4" t="s">
        <v>18</v>
      </c>
      <c r="U2" s="4" t="s">
        <v>19</v>
      </c>
      <c r="V2" s="6" t="s">
        <v>20</v>
      </c>
      <c r="W2" s="6" t="s">
        <v>21</v>
      </c>
    </row>
    <row r="3" spans="1:23" s="12" customFormat="1" ht="25" customHeight="1">
      <c r="A3" s="8">
        <v>1</v>
      </c>
      <c r="B3" s="8" t="s">
        <v>24</v>
      </c>
      <c r="C3" s="8" t="s">
        <v>25</v>
      </c>
      <c r="D3" s="8" t="s">
        <v>26</v>
      </c>
      <c r="E3" s="8" t="s">
        <v>27</v>
      </c>
      <c r="F3" s="9" t="s">
        <v>53</v>
      </c>
      <c r="G3" s="8" t="s">
        <v>52</v>
      </c>
      <c r="H3" s="8" t="s">
        <v>58</v>
      </c>
      <c r="I3" s="8" t="s">
        <v>28</v>
      </c>
      <c r="J3" s="10">
        <v>90</v>
      </c>
      <c r="K3" s="10">
        <v>81.8</v>
      </c>
      <c r="L3" s="10">
        <v>23.4</v>
      </c>
      <c r="M3" s="10">
        <v>195.2</v>
      </c>
      <c r="N3" s="8">
        <v>113</v>
      </c>
      <c r="O3" s="8">
        <v>47</v>
      </c>
      <c r="P3" s="8">
        <v>0</v>
      </c>
      <c r="Q3" s="8">
        <v>0</v>
      </c>
      <c r="R3" s="8">
        <v>160</v>
      </c>
      <c r="S3" s="10">
        <v>355.2</v>
      </c>
      <c r="T3" s="8">
        <v>80</v>
      </c>
      <c r="U3" s="8">
        <v>81</v>
      </c>
      <c r="V3" s="8"/>
      <c r="W3" s="11" t="s">
        <v>57</v>
      </c>
    </row>
    <row r="4" spans="1:23" s="12" customFormat="1" ht="25" customHeight="1">
      <c r="A4" s="8">
        <v>2</v>
      </c>
      <c r="B4" s="8" t="s">
        <v>24</v>
      </c>
      <c r="C4" s="8" t="s">
        <v>25</v>
      </c>
      <c r="D4" s="8" t="s">
        <v>26</v>
      </c>
      <c r="E4" s="8" t="s">
        <v>27</v>
      </c>
      <c r="F4" s="9" t="s">
        <v>53</v>
      </c>
      <c r="G4" s="8" t="s">
        <v>52</v>
      </c>
      <c r="H4" s="8" t="s">
        <v>31</v>
      </c>
      <c r="I4" s="8" t="s">
        <v>32</v>
      </c>
      <c r="J4" s="10">
        <v>87</v>
      </c>
      <c r="K4" s="10">
        <v>82</v>
      </c>
      <c r="L4" s="10">
        <v>22.8</v>
      </c>
      <c r="M4" s="10">
        <v>191.8</v>
      </c>
      <c r="N4" s="8">
        <v>96</v>
      </c>
      <c r="O4" s="8">
        <v>61</v>
      </c>
      <c r="P4" s="8">
        <v>0</v>
      </c>
      <c r="Q4" s="8">
        <v>0</v>
      </c>
      <c r="R4" s="8">
        <v>157</v>
      </c>
      <c r="S4" s="10">
        <v>348.8</v>
      </c>
      <c r="T4" s="8"/>
      <c r="U4" s="8"/>
      <c r="V4" s="8"/>
      <c r="W4" s="11" t="s">
        <v>55</v>
      </c>
    </row>
    <row r="5" spans="1:23" s="12" customFormat="1" ht="25" customHeight="1">
      <c r="A5" s="8">
        <v>3</v>
      </c>
      <c r="B5" s="8" t="s">
        <v>24</v>
      </c>
      <c r="C5" s="8" t="s">
        <v>25</v>
      </c>
      <c r="D5" s="8" t="s">
        <v>26</v>
      </c>
      <c r="E5" s="8" t="s">
        <v>27</v>
      </c>
      <c r="F5" s="9" t="s">
        <v>53</v>
      </c>
      <c r="G5" s="8" t="s">
        <v>52</v>
      </c>
      <c r="H5" s="8" t="s">
        <v>59</v>
      </c>
      <c r="I5" s="8" t="s">
        <v>33</v>
      </c>
      <c r="J5" s="10">
        <v>85</v>
      </c>
      <c r="K5" s="10">
        <v>82.4</v>
      </c>
      <c r="L5" s="10">
        <v>22.8</v>
      </c>
      <c r="M5" s="10">
        <v>190.2</v>
      </c>
      <c r="N5" s="8">
        <v>70</v>
      </c>
      <c r="O5" s="8">
        <v>87</v>
      </c>
      <c r="P5" s="8">
        <v>0</v>
      </c>
      <c r="Q5" s="8">
        <v>0</v>
      </c>
      <c r="R5" s="8">
        <v>157</v>
      </c>
      <c r="S5" s="10">
        <v>347.2</v>
      </c>
      <c r="T5" s="8"/>
      <c r="U5" s="8"/>
      <c r="V5" s="8"/>
      <c r="W5" s="11" t="s">
        <v>57</v>
      </c>
    </row>
    <row r="6" spans="1:23" s="12" customFormat="1" ht="25" customHeight="1">
      <c r="A6" s="8">
        <v>4</v>
      </c>
      <c r="B6" s="8" t="s">
        <v>24</v>
      </c>
      <c r="C6" s="8" t="s">
        <v>25</v>
      </c>
      <c r="D6" s="8" t="s">
        <v>26</v>
      </c>
      <c r="E6" s="8" t="s">
        <v>27</v>
      </c>
      <c r="F6" s="9" t="s">
        <v>53</v>
      </c>
      <c r="G6" s="8" t="s">
        <v>52</v>
      </c>
      <c r="H6" s="8" t="s">
        <v>37</v>
      </c>
      <c r="I6" s="8" t="s">
        <v>38</v>
      </c>
      <c r="J6" s="10">
        <v>89</v>
      </c>
      <c r="K6" s="10">
        <v>81.599999999999994</v>
      </c>
      <c r="L6" s="10">
        <v>22.8</v>
      </c>
      <c r="M6" s="10">
        <v>193.39999999999998</v>
      </c>
      <c r="N6" s="8">
        <v>108</v>
      </c>
      <c r="O6" s="8">
        <v>45</v>
      </c>
      <c r="P6" s="8">
        <v>0</v>
      </c>
      <c r="Q6" s="8">
        <v>0</v>
      </c>
      <c r="R6" s="8">
        <v>153</v>
      </c>
      <c r="S6" s="10">
        <v>346.4</v>
      </c>
      <c r="T6" s="8"/>
      <c r="U6" s="8"/>
      <c r="V6" s="8"/>
      <c r="W6" s="11" t="s">
        <v>55</v>
      </c>
    </row>
    <row r="7" spans="1:23" s="12" customFormat="1" ht="25" customHeight="1">
      <c r="A7" s="8">
        <v>5</v>
      </c>
      <c r="B7" s="8" t="s">
        <v>24</v>
      </c>
      <c r="C7" s="8" t="s">
        <v>25</v>
      </c>
      <c r="D7" s="8" t="s">
        <v>26</v>
      </c>
      <c r="E7" s="8" t="s">
        <v>27</v>
      </c>
      <c r="F7" s="9" t="s">
        <v>53</v>
      </c>
      <c r="G7" s="8" t="s">
        <v>52</v>
      </c>
      <c r="H7" s="8" t="s">
        <v>60</v>
      </c>
      <c r="I7" s="8" t="s">
        <v>34</v>
      </c>
      <c r="J7" s="10">
        <v>86</v>
      </c>
      <c r="K7" s="10">
        <v>81.8</v>
      </c>
      <c r="L7" s="10">
        <v>23.2</v>
      </c>
      <c r="M7" s="10">
        <v>191</v>
      </c>
      <c r="N7" s="8">
        <v>104</v>
      </c>
      <c r="O7" s="8">
        <v>51</v>
      </c>
      <c r="P7" s="8">
        <v>0</v>
      </c>
      <c r="Q7" s="8">
        <v>0</v>
      </c>
      <c r="R7" s="8">
        <v>155</v>
      </c>
      <c r="S7" s="10">
        <v>346</v>
      </c>
      <c r="T7" s="8"/>
      <c r="U7" s="8"/>
      <c r="V7" s="8"/>
      <c r="W7" s="11" t="s">
        <v>57</v>
      </c>
    </row>
    <row r="8" spans="1:23" s="12" customFormat="1" ht="25" customHeight="1">
      <c r="A8" s="8">
        <v>6</v>
      </c>
      <c r="B8" s="8" t="s">
        <v>24</v>
      </c>
      <c r="C8" s="8" t="s">
        <v>25</v>
      </c>
      <c r="D8" s="8" t="s">
        <v>26</v>
      </c>
      <c r="E8" s="8" t="s">
        <v>27</v>
      </c>
      <c r="F8" s="9" t="s">
        <v>53</v>
      </c>
      <c r="G8" s="8" t="s">
        <v>52</v>
      </c>
      <c r="H8" s="8" t="s">
        <v>35</v>
      </c>
      <c r="I8" s="8" t="s">
        <v>36</v>
      </c>
      <c r="J8" s="10">
        <v>86</v>
      </c>
      <c r="K8" s="10">
        <v>82.4</v>
      </c>
      <c r="L8" s="10">
        <v>22.6</v>
      </c>
      <c r="M8" s="10">
        <v>191</v>
      </c>
      <c r="N8" s="8">
        <v>102</v>
      </c>
      <c r="O8" s="8">
        <v>52</v>
      </c>
      <c r="P8" s="8">
        <v>0</v>
      </c>
      <c r="Q8" s="8">
        <v>0</v>
      </c>
      <c r="R8" s="8">
        <v>154</v>
      </c>
      <c r="S8" s="10">
        <v>345</v>
      </c>
      <c r="T8" s="8"/>
      <c r="U8" s="8"/>
      <c r="V8" s="8"/>
      <c r="W8" s="11" t="s">
        <v>55</v>
      </c>
    </row>
    <row r="9" spans="1:23" s="12" customFormat="1" ht="25" customHeight="1">
      <c r="A9" s="8">
        <v>7</v>
      </c>
      <c r="B9" s="8" t="s">
        <v>24</v>
      </c>
      <c r="C9" s="8" t="s">
        <v>25</v>
      </c>
      <c r="D9" s="8" t="s">
        <v>26</v>
      </c>
      <c r="E9" s="8" t="s">
        <v>27</v>
      </c>
      <c r="F9" s="9" t="s">
        <v>53</v>
      </c>
      <c r="G9" s="8" t="s">
        <v>52</v>
      </c>
      <c r="H9" s="8" t="s">
        <v>41</v>
      </c>
      <c r="I9" s="8" t="s">
        <v>42</v>
      </c>
      <c r="J9" s="10">
        <v>85</v>
      </c>
      <c r="K9" s="10">
        <v>80.400000000000006</v>
      </c>
      <c r="L9" s="10">
        <v>21</v>
      </c>
      <c r="M9" s="10">
        <v>186.4</v>
      </c>
      <c r="N9" s="8">
        <v>113</v>
      </c>
      <c r="O9" s="8">
        <v>39</v>
      </c>
      <c r="P9" s="8">
        <v>0</v>
      </c>
      <c r="Q9" s="8">
        <v>0</v>
      </c>
      <c r="R9" s="8">
        <v>152</v>
      </c>
      <c r="S9" s="10">
        <v>338.4</v>
      </c>
      <c r="T9" s="8">
        <v>90</v>
      </c>
      <c r="U9" s="8">
        <v>85</v>
      </c>
      <c r="V9" s="8"/>
      <c r="W9" s="11" t="s">
        <v>55</v>
      </c>
    </row>
    <row r="10" spans="1:23" s="12" customFormat="1" ht="25" customHeight="1">
      <c r="A10" s="8">
        <v>8</v>
      </c>
      <c r="B10" s="8" t="s">
        <v>24</v>
      </c>
      <c r="C10" s="8" t="s">
        <v>25</v>
      </c>
      <c r="D10" s="8" t="s">
        <v>26</v>
      </c>
      <c r="E10" s="8" t="s">
        <v>27</v>
      </c>
      <c r="F10" s="9" t="s">
        <v>53</v>
      </c>
      <c r="G10" s="8" t="s">
        <v>52</v>
      </c>
      <c r="H10" s="8" t="s">
        <v>47</v>
      </c>
      <c r="I10" s="8" t="s">
        <v>48</v>
      </c>
      <c r="J10" s="10">
        <v>83</v>
      </c>
      <c r="K10" s="10">
        <v>81</v>
      </c>
      <c r="L10" s="10">
        <v>22.4</v>
      </c>
      <c r="M10" s="10">
        <v>186.4</v>
      </c>
      <c r="N10" s="8">
        <v>98</v>
      </c>
      <c r="O10" s="8">
        <v>53</v>
      </c>
      <c r="P10" s="8">
        <v>0</v>
      </c>
      <c r="Q10" s="8">
        <v>0</v>
      </c>
      <c r="R10" s="8">
        <v>151</v>
      </c>
      <c r="S10" s="10">
        <v>337.4</v>
      </c>
      <c r="T10" s="8"/>
      <c r="U10" s="8"/>
      <c r="V10" s="8"/>
      <c r="W10" s="11" t="s">
        <v>55</v>
      </c>
    </row>
    <row r="11" spans="1:23" s="12" customFormat="1" ht="25" customHeight="1">
      <c r="A11" s="8">
        <v>9</v>
      </c>
      <c r="B11" s="8" t="s">
        <v>24</v>
      </c>
      <c r="C11" s="8" t="s">
        <v>25</v>
      </c>
      <c r="D11" s="8" t="s">
        <v>26</v>
      </c>
      <c r="E11" s="8" t="s">
        <v>27</v>
      </c>
      <c r="F11" s="9" t="s">
        <v>53</v>
      </c>
      <c r="G11" s="8" t="s">
        <v>52</v>
      </c>
      <c r="H11" s="8" t="s">
        <v>43</v>
      </c>
      <c r="I11" s="8" t="s">
        <v>44</v>
      </c>
      <c r="J11" s="10">
        <v>82</v>
      </c>
      <c r="K11" s="10">
        <v>81.400000000000006</v>
      </c>
      <c r="L11" s="10">
        <v>21.6</v>
      </c>
      <c r="M11" s="10">
        <v>185</v>
      </c>
      <c r="N11" s="8">
        <v>99</v>
      </c>
      <c r="O11" s="8">
        <v>53</v>
      </c>
      <c r="P11" s="8">
        <v>0</v>
      </c>
      <c r="Q11" s="8">
        <v>0</v>
      </c>
      <c r="R11" s="8">
        <v>152</v>
      </c>
      <c r="S11" s="10">
        <v>337</v>
      </c>
      <c r="T11" s="8"/>
      <c r="U11" s="8"/>
      <c r="V11" s="8"/>
      <c r="W11" s="11" t="s">
        <v>55</v>
      </c>
    </row>
    <row r="12" spans="1:23" s="12" customFormat="1" ht="25" customHeight="1">
      <c r="A12" s="8">
        <v>10</v>
      </c>
      <c r="B12" s="8" t="s">
        <v>24</v>
      </c>
      <c r="C12" s="8" t="s">
        <v>25</v>
      </c>
      <c r="D12" s="8" t="s">
        <v>26</v>
      </c>
      <c r="E12" s="8" t="s">
        <v>27</v>
      </c>
      <c r="F12" s="9" t="s">
        <v>53</v>
      </c>
      <c r="G12" s="8" t="s">
        <v>52</v>
      </c>
      <c r="H12" s="8" t="s">
        <v>49</v>
      </c>
      <c r="I12" s="8" t="s">
        <v>50</v>
      </c>
      <c r="J12" s="10">
        <v>85</v>
      </c>
      <c r="K12" s="10">
        <v>78.8</v>
      </c>
      <c r="L12" s="10">
        <v>20.6</v>
      </c>
      <c r="M12" s="10">
        <v>184.39999999999998</v>
      </c>
      <c r="N12" s="8">
        <v>105</v>
      </c>
      <c r="O12" s="8">
        <v>46</v>
      </c>
      <c r="P12" s="8">
        <v>0</v>
      </c>
      <c r="Q12" s="8">
        <v>0</v>
      </c>
      <c r="R12" s="8">
        <v>151</v>
      </c>
      <c r="S12" s="10">
        <v>335.4</v>
      </c>
      <c r="T12" s="8"/>
      <c r="U12" s="8"/>
      <c r="V12" s="8"/>
      <c r="W12" s="11" t="s">
        <v>55</v>
      </c>
    </row>
    <row r="13" spans="1:23" s="12" customFormat="1" ht="25" customHeight="1">
      <c r="A13" s="8">
        <v>11</v>
      </c>
      <c r="B13" s="8" t="s">
        <v>24</v>
      </c>
      <c r="C13" s="8" t="s">
        <v>25</v>
      </c>
      <c r="D13" s="8" t="s">
        <v>26</v>
      </c>
      <c r="E13" s="8" t="s">
        <v>27</v>
      </c>
      <c r="F13" s="9" t="s">
        <v>53</v>
      </c>
      <c r="G13" s="8" t="s">
        <v>52</v>
      </c>
      <c r="H13" s="8" t="s">
        <v>61</v>
      </c>
      <c r="I13" s="8" t="s">
        <v>51</v>
      </c>
      <c r="J13" s="10">
        <v>84</v>
      </c>
      <c r="K13" s="10">
        <v>79</v>
      </c>
      <c r="L13" s="10">
        <v>20</v>
      </c>
      <c r="M13" s="10">
        <v>183</v>
      </c>
      <c r="N13" s="8">
        <v>116</v>
      </c>
      <c r="O13" s="8">
        <v>35</v>
      </c>
      <c r="P13" s="8">
        <v>0</v>
      </c>
      <c r="Q13" s="8">
        <v>0</v>
      </c>
      <c r="R13" s="8">
        <v>151</v>
      </c>
      <c r="S13" s="10">
        <v>334</v>
      </c>
      <c r="T13" s="8"/>
      <c r="U13" s="8"/>
      <c r="V13" s="8"/>
      <c r="W13" s="11" t="s">
        <v>57</v>
      </c>
    </row>
    <row r="14" spans="1:23" s="12" customFormat="1" ht="25" customHeight="1">
      <c r="A14" s="8">
        <v>12</v>
      </c>
      <c r="B14" s="8" t="s">
        <v>24</v>
      </c>
      <c r="C14" s="8" t="s">
        <v>25</v>
      </c>
      <c r="D14" s="8" t="s">
        <v>26</v>
      </c>
      <c r="E14" s="8" t="s">
        <v>27</v>
      </c>
      <c r="F14" s="9" t="s">
        <v>53</v>
      </c>
      <c r="G14" s="8" t="s">
        <v>52</v>
      </c>
      <c r="H14" s="8" t="s">
        <v>39</v>
      </c>
      <c r="I14" s="8" t="s">
        <v>40</v>
      </c>
      <c r="J14" s="10">
        <v>81</v>
      </c>
      <c r="K14" s="10">
        <v>80</v>
      </c>
      <c r="L14" s="10">
        <v>20.8</v>
      </c>
      <c r="M14" s="10">
        <v>181.8</v>
      </c>
      <c r="N14" s="8">
        <v>105</v>
      </c>
      <c r="O14" s="8">
        <v>37</v>
      </c>
      <c r="P14" s="8">
        <v>0</v>
      </c>
      <c r="Q14" s="8">
        <v>0</v>
      </c>
      <c r="R14" s="8">
        <v>152</v>
      </c>
      <c r="S14" s="10">
        <v>333.8</v>
      </c>
      <c r="T14" s="8"/>
      <c r="U14" s="8"/>
      <c r="V14" s="8" t="s">
        <v>54</v>
      </c>
      <c r="W14" s="11" t="s">
        <v>55</v>
      </c>
    </row>
    <row r="15" spans="1:23" s="12" customFormat="1" ht="25" customHeight="1">
      <c r="A15" s="8">
        <v>13</v>
      </c>
      <c r="B15" s="8" t="s">
        <v>24</v>
      </c>
      <c r="C15" s="8" t="s">
        <v>25</v>
      </c>
      <c r="D15" s="8" t="s">
        <v>26</v>
      </c>
      <c r="E15" s="8" t="s">
        <v>27</v>
      </c>
      <c r="F15" s="9" t="s">
        <v>53</v>
      </c>
      <c r="G15" s="8" t="s">
        <v>52</v>
      </c>
      <c r="H15" s="8" t="s">
        <v>29</v>
      </c>
      <c r="I15" s="8" t="s">
        <v>30</v>
      </c>
      <c r="J15" s="10">
        <v>0</v>
      </c>
      <c r="K15" s="10">
        <v>0</v>
      </c>
      <c r="L15" s="10">
        <v>0</v>
      </c>
      <c r="M15" s="10">
        <v>0</v>
      </c>
      <c r="N15" s="8">
        <v>89</v>
      </c>
      <c r="O15" s="8">
        <v>69</v>
      </c>
      <c r="P15" s="8">
        <v>0</v>
      </c>
      <c r="Q15" s="8">
        <v>0</v>
      </c>
      <c r="R15" s="8">
        <v>158</v>
      </c>
      <c r="S15" s="10">
        <f>M15+R15</f>
        <v>158</v>
      </c>
      <c r="T15" s="8"/>
      <c r="U15" s="8"/>
      <c r="V15" s="8"/>
      <c r="W15" s="11" t="s">
        <v>56</v>
      </c>
    </row>
    <row r="16" spans="1:23" s="12" customFormat="1" ht="25" customHeight="1">
      <c r="A16" s="8">
        <v>14</v>
      </c>
      <c r="B16" s="8" t="s">
        <v>24</v>
      </c>
      <c r="C16" s="8" t="s">
        <v>25</v>
      </c>
      <c r="D16" s="8" t="s">
        <v>26</v>
      </c>
      <c r="E16" s="8" t="s">
        <v>27</v>
      </c>
      <c r="F16" s="9" t="s">
        <v>53</v>
      </c>
      <c r="G16" s="8" t="s">
        <v>52</v>
      </c>
      <c r="H16" s="8" t="s">
        <v>45</v>
      </c>
      <c r="I16" s="8" t="s">
        <v>46</v>
      </c>
      <c r="J16" s="10">
        <v>0</v>
      </c>
      <c r="K16" s="10">
        <v>0</v>
      </c>
      <c r="L16" s="10">
        <v>0</v>
      </c>
      <c r="M16" s="10">
        <v>0</v>
      </c>
      <c r="N16" s="8">
        <v>91</v>
      </c>
      <c r="O16" s="8">
        <v>61</v>
      </c>
      <c r="P16" s="8">
        <v>0</v>
      </c>
      <c r="Q16" s="8">
        <v>0</v>
      </c>
      <c r="R16" s="8">
        <v>152</v>
      </c>
      <c r="S16" s="10">
        <f>M16+R16</f>
        <v>152</v>
      </c>
      <c r="T16" s="8"/>
      <c r="U16" s="8"/>
      <c r="V16" s="8"/>
      <c r="W16" s="11" t="s">
        <v>56</v>
      </c>
    </row>
    <row r="17" spans="1:23" s="12" customFormat="1" ht="25" customHeight="1">
      <c r="A17" s="8">
        <v>15</v>
      </c>
      <c r="B17" s="8" t="s">
        <v>63</v>
      </c>
      <c r="C17" s="8" t="s">
        <v>64</v>
      </c>
      <c r="D17" s="8" t="s">
        <v>65</v>
      </c>
      <c r="E17" s="8" t="s">
        <v>66</v>
      </c>
      <c r="F17" s="9" t="s">
        <v>67</v>
      </c>
      <c r="G17" s="8" t="s">
        <v>68</v>
      </c>
      <c r="H17" s="8" t="s">
        <v>69</v>
      </c>
      <c r="I17" s="8" t="s">
        <v>70</v>
      </c>
      <c r="J17" s="10">
        <v>82</v>
      </c>
      <c r="K17" s="10">
        <v>78</v>
      </c>
      <c r="L17" s="10">
        <v>21.2</v>
      </c>
      <c r="M17" s="10">
        <v>181.2</v>
      </c>
      <c r="N17" s="8">
        <v>63</v>
      </c>
      <c r="O17" s="8">
        <v>64</v>
      </c>
      <c r="P17" s="8">
        <v>112</v>
      </c>
      <c r="Q17" s="8">
        <v>107</v>
      </c>
      <c r="R17" s="8">
        <v>346</v>
      </c>
      <c r="S17" s="10">
        <f t="shared" ref="S17:S23" si="0">M17+R17</f>
        <v>527.20000000000005</v>
      </c>
      <c r="T17" s="8"/>
      <c r="U17" s="8"/>
      <c r="V17" s="8"/>
      <c r="W17" s="11" t="s">
        <v>71</v>
      </c>
    </row>
    <row r="18" spans="1:23" s="12" customFormat="1" ht="25" customHeight="1">
      <c r="A18" s="8">
        <v>16</v>
      </c>
      <c r="B18" s="8" t="s">
        <v>63</v>
      </c>
      <c r="C18" s="8" t="s">
        <v>64</v>
      </c>
      <c r="D18" s="8" t="s">
        <v>65</v>
      </c>
      <c r="E18" s="8" t="s">
        <v>66</v>
      </c>
      <c r="F18" s="9" t="s">
        <v>67</v>
      </c>
      <c r="G18" s="8" t="s">
        <v>68</v>
      </c>
      <c r="H18" s="8" t="s">
        <v>72</v>
      </c>
      <c r="I18" s="8" t="s">
        <v>73</v>
      </c>
      <c r="J18" s="10">
        <v>83</v>
      </c>
      <c r="K18" s="10">
        <v>75.599999999999994</v>
      </c>
      <c r="L18" s="10">
        <v>22.4</v>
      </c>
      <c r="M18" s="10">
        <v>181</v>
      </c>
      <c r="N18" s="8">
        <v>64</v>
      </c>
      <c r="O18" s="8">
        <v>61</v>
      </c>
      <c r="P18" s="8">
        <v>98</v>
      </c>
      <c r="Q18" s="8">
        <v>104</v>
      </c>
      <c r="R18" s="8">
        <v>327</v>
      </c>
      <c r="S18" s="10">
        <f t="shared" si="0"/>
        <v>508</v>
      </c>
      <c r="T18" s="8"/>
      <c r="U18" s="8"/>
      <c r="V18" s="8"/>
      <c r="W18" s="11" t="s">
        <v>71</v>
      </c>
    </row>
    <row r="19" spans="1:23" s="12" customFormat="1" ht="25" customHeight="1">
      <c r="A19" s="8">
        <v>17</v>
      </c>
      <c r="B19" s="8" t="s">
        <v>63</v>
      </c>
      <c r="C19" s="8" t="s">
        <v>64</v>
      </c>
      <c r="D19" s="8" t="s">
        <v>65</v>
      </c>
      <c r="E19" s="8" t="s">
        <v>66</v>
      </c>
      <c r="F19" s="9" t="s">
        <v>67</v>
      </c>
      <c r="G19" s="8" t="s">
        <v>68</v>
      </c>
      <c r="H19" s="8" t="s">
        <v>74</v>
      </c>
      <c r="I19" s="8" t="s">
        <v>75</v>
      </c>
      <c r="J19" s="10">
        <v>82.8</v>
      </c>
      <c r="K19" s="10">
        <v>76.2</v>
      </c>
      <c r="L19" s="10">
        <v>19.600000000000001</v>
      </c>
      <c r="M19" s="10">
        <v>178.6</v>
      </c>
      <c r="N19" s="8">
        <v>71</v>
      </c>
      <c r="O19" s="8">
        <v>53</v>
      </c>
      <c r="P19" s="8">
        <v>103</v>
      </c>
      <c r="Q19" s="8">
        <v>101</v>
      </c>
      <c r="R19" s="8">
        <v>328</v>
      </c>
      <c r="S19" s="10">
        <f t="shared" si="0"/>
        <v>506.6</v>
      </c>
      <c r="T19" s="8"/>
      <c r="U19" s="8"/>
      <c r="V19" s="8"/>
      <c r="W19" s="11" t="s">
        <v>71</v>
      </c>
    </row>
    <row r="20" spans="1:23" s="12" customFormat="1" ht="25" customHeight="1">
      <c r="A20" s="8">
        <v>18</v>
      </c>
      <c r="B20" s="8" t="s">
        <v>63</v>
      </c>
      <c r="C20" s="8" t="s">
        <v>64</v>
      </c>
      <c r="D20" s="8" t="s">
        <v>65</v>
      </c>
      <c r="E20" s="8" t="s">
        <v>66</v>
      </c>
      <c r="F20" s="9" t="s">
        <v>67</v>
      </c>
      <c r="G20" s="8" t="s">
        <v>68</v>
      </c>
      <c r="H20" s="8" t="s">
        <v>76</v>
      </c>
      <c r="I20" s="8" t="s">
        <v>77</v>
      </c>
      <c r="J20" s="10">
        <v>77</v>
      </c>
      <c r="K20" s="10">
        <v>73</v>
      </c>
      <c r="L20" s="10">
        <v>21</v>
      </c>
      <c r="M20" s="10">
        <v>171</v>
      </c>
      <c r="N20" s="8">
        <v>69</v>
      </c>
      <c r="O20" s="8">
        <v>51</v>
      </c>
      <c r="P20" s="8">
        <v>108</v>
      </c>
      <c r="Q20" s="8">
        <v>99</v>
      </c>
      <c r="R20" s="8">
        <v>327</v>
      </c>
      <c r="S20" s="10">
        <f t="shared" si="0"/>
        <v>498</v>
      </c>
      <c r="T20" s="8"/>
      <c r="U20" s="8"/>
      <c r="V20" s="8"/>
      <c r="W20" s="11" t="s">
        <v>78</v>
      </c>
    </row>
    <row r="21" spans="1:23" s="12" customFormat="1" ht="25" customHeight="1">
      <c r="A21" s="8">
        <v>19</v>
      </c>
      <c r="B21" s="8" t="s">
        <v>63</v>
      </c>
      <c r="C21" s="8" t="s">
        <v>64</v>
      </c>
      <c r="D21" s="8" t="s">
        <v>65</v>
      </c>
      <c r="E21" s="8" t="s">
        <v>66</v>
      </c>
      <c r="F21" s="9" t="s">
        <v>67</v>
      </c>
      <c r="G21" s="8" t="s">
        <v>68</v>
      </c>
      <c r="H21" s="8" t="s">
        <v>79</v>
      </c>
      <c r="I21" s="8" t="s">
        <v>80</v>
      </c>
      <c r="J21" s="10">
        <v>77</v>
      </c>
      <c r="K21" s="10">
        <v>75</v>
      </c>
      <c r="L21" s="10">
        <v>19.600000000000001</v>
      </c>
      <c r="M21" s="10">
        <v>171.6</v>
      </c>
      <c r="N21" s="8">
        <v>71</v>
      </c>
      <c r="O21" s="8">
        <v>44</v>
      </c>
      <c r="P21" s="8">
        <v>102</v>
      </c>
      <c r="Q21" s="8">
        <v>108</v>
      </c>
      <c r="R21" s="8">
        <v>325</v>
      </c>
      <c r="S21" s="10">
        <f t="shared" si="0"/>
        <v>496.6</v>
      </c>
      <c r="T21" s="8"/>
      <c r="U21" s="8"/>
      <c r="V21" s="8"/>
      <c r="W21" s="11" t="s">
        <v>78</v>
      </c>
    </row>
    <row r="22" spans="1:23" s="12" customFormat="1" ht="25" customHeight="1">
      <c r="A22" s="8">
        <v>20</v>
      </c>
      <c r="B22" s="8" t="s">
        <v>63</v>
      </c>
      <c r="C22" s="8" t="s">
        <v>64</v>
      </c>
      <c r="D22" s="8" t="s">
        <v>65</v>
      </c>
      <c r="E22" s="8" t="s">
        <v>66</v>
      </c>
      <c r="F22" s="9" t="s">
        <v>67</v>
      </c>
      <c r="G22" s="8" t="s">
        <v>68</v>
      </c>
      <c r="H22" s="8" t="s">
        <v>81</v>
      </c>
      <c r="I22" s="8" t="s">
        <v>82</v>
      </c>
      <c r="J22" s="10">
        <v>72</v>
      </c>
      <c r="K22" s="10">
        <v>66</v>
      </c>
      <c r="L22" s="10">
        <v>19.399999999999999</v>
      </c>
      <c r="M22" s="10">
        <v>157.4</v>
      </c>
      <c r="N22" s="8">
        <v>70</v>
      </c>
      <c r="O22" s="8">
        <v>56</v>
      </c>
      <c r="P22" s="8">
        <v>99</v>
      </c>
      <c r="Q22" s="8">
        <v>110</v>
      </c>
      <c r="R22" s="8">
        <v>335</v>
      </c>
      <c r="S22" s="10">
        <f t="shared" si="0"/>
        <v>492.4</v>
      </c>
      <c r="T22" s="8"/>
      <c r="U22" s="8"/>
      <c r="V22" s="8"/>
      <c r="W22" s="11" t="s">
        <v>71</v>
      </c>
    </row>
    <row r="23" spans="1:23" s="12" customFormat="1" ht="25" customHeight="1">
      <c r="A23" s="8">
        <v>21</v>
      </c>
      <c r="B23" s="8" t="s">
        <v>63</v>
      </c>
      <c r="C23" s="8" t="s">
        <v>64</v>
      </c>
      <c r="D23" s="8" t="s">
        <v>65</v>
      </c>
      <c r="E23" s="8" t="s">
        <v>66</v>
      </c>
      <c r="F23" s="9" t="s">
        <v>67</v>
      </c>
      <c r="G23" s="8" t="s">
        <v>68</v>
      </c>
      <c r="H23" s="8" t="s">
        <v>83</v>
      </c>
      <c r="I23" s="8" t="s">
        <v>84</v>
      </c>
      <c r="J23" s="10">
        <v>0</v>
      </c>
      <c r="K23" s="10">
        <v>0</v>
      </c>
      <c r="L23" s="10">
        <v>0</v>
      </c>
      <c r="M23" s="10">
        <v>0</v>
      </c>
      <c r="N23" s="8">
        <v>59</v>
      </c>
      <c r="O23" s="8">
        <v>62</v>
      </c>
      <c r="P23" s="8">
        <v>104</v>
      </c>
      <c r="Q23" s="8">
        <v>108</v>
      </c>
      <c r="R23" s="8">
        <v>333</v>
      </c>
      <c r="S23" s="10">
        <f t="shared" si="0"/>
        <v>333</v>
      </c>
      <c r="T23" s="8"/>
      <c r="U23" s="8"/>
      <c r="V23" s="8"/>
      <c r="W23" s="11" t="s">
        <v>85</v>
      </c>
    </row>
    <row r="24" spans="1:23" s="12" customFormat="1" ht="25" customHeight="1">
      <c r="A24" s="8">
        <v>22</v>
      </c>
      <c r="B24" s="8" t="s">
        <v>63</v>
      </c>
      <c r="C24" s="8" t="s">
        <v>64</v>
      </c>
      <c r="D24" s="8" t="s">
        <v>65</v>
      </c>
      <c r="E24" s="8" t="s">
        <v>66</v>
      </c>
      <c r="F24" s="9" t="s">
        <v>67</v>
      </c>
      <c r="G24" s="8" t="s">
        <v>68</v>
      </c>
      <c r="H24" s="8" t="s">
        <v>86</v>
      </c>
      <c r="I24" s="8" t="s">
        <v>87</v>
      </c>
      <c r="J24" s="10">
        <v>0</v>
      </c>
      <c r="K24" s="10">
        <v>0</v>
      </c>
      <c r="L24" s="10">
        <v>0</v>
      </c>
      <c r="M24" s="10">
        <v>0</v>
      </c>
      <c r="N24" s="8">
        <v>63</v>
      </c>
      <c r="O24" s="8">
        <v>56</v>
      </c>
      <c r="P24" s="8">
        <v>96</v>
      </c>
      <c r="Q24" s="8">
        <v>112</v>
      </c>
      <c r="R24" s="8">
        <v>327</v>
      </c>
      <c r="S24" s="10">
        <f>M30+R24</f>
        <v>327</v>
      </c>
      <c r="T24" s="8"/>
      <c r="U24" s="8"/>
      <c r="V24" s="8"/>
      <c r="W24" s="11" t="s">
        <v>85</v>
      </c>
    </row>
    <row r="25" spans="1:23" s="12" customFormat="1" ht="25" customHeight="1">
      <c r="A25" s="8">
        <v>23</v>
      </c>
      <c r="B25" s="8" t="s">
        <v>63</v>
      </c>
      <c r="C25" s="8" t="s">
        <v>64</v>
      </c>
      <c r="D25" s="8" t="s">
        <v>65</v>
      </c>
      <c r="E25" s="8" t="s">
        <v>66</v>
      </c>
      <c r="F25" s="9" t="s">
        <v>67</v>
      </c>
      <c r="G25" s="8" t="s">
        <v>68</v>
      </c>
      <c r="H25" s="8" t="s">
        <v>88</v>
      </c>
      <c r="I25" s="8" t="s">
        <v>89</v>
      </c>
      <c r="J25" s="10">
        <v>0</v>
      </c>
      <c r="K25" s="10">
        <v>0</v>
      </c>
      <c r="L25" s="10">
        <v>0</v>
      </c>
      <c r="M25" s="10">
        <v>0</v>
      </c>
      <c r="N25" s="8">
        <v>74</v>
      </c>
      <c r="O25" s="8">
        <v>65</v>
      </c>
      <c r="P25" s="8">
        <v>92</v>
      </c>
      <c r="Q25" s="8">
        <v>94</v>
      </c>
      <c r="R25" s="8">
        <v>325</v>
      </c>
      <c r="S25" s="10">
        <f>M25+R25</f>
        <v>325</v>
      </c>
      <c r="T25" s="8"/>
      <c r="U25" s="8"/>
      <c r="V25" s="8"/>
      <c r="W25" s="11" t="s">
        <v>85</v>
      </c>
    </row>
    <row r="26" spans="1:23" ht="65.5" customHeight="1">
      <c r="A26" s="19" t="s">
        <v>23</v>
      </c>
      <c r="B26" s="19"/>
      <c r="C26" s="19"/>
      <c r="D26" s="19"/>
      <c r="E26" s="19"/>
      <c r="F26" s="19"/>
      <c r="G26" s="19"/>
      <c r="H26" s="19"/>
      <c r="I26" s="19"/>
      <c r="J26" s="19"/>
      <c r="K26" s="19"/>
      <c r="L26" s="19"/>
      <c r="M26" s="19"/>
      <c r="N26" s="19"/>
      <c r="O26" s="19"/>
      <c r="P26" s="19"/>
      <c r="Q26" s="19"/>
      <c r="R26" s="19"/>
      <c r="S26" s="19"/>
      <c r="T26" s="19"/>
      <c r="U26" s="19"/>
      <c r="V26" s="20"/>
      <c r="W26" s="20"/>
    </row>
  </sheetData>
  <sortState ref="A3:W16">
    <sortCondition ref="D3:D16"/>
    <sortCondition descending="1" ref="S3:S16"/>
    <sortCondition descending="1" ref="R3:R16"/>
    <sortCondition descending="1" ref="O3:O16"/>
  </sortState>
  <mergeCells count="2">
    <mergeCell ref="A1:W1"/>
    <mergeCell ref="A26:W26"/>
  </mergeCells>
  <phoneticPr fontId="3" type="noConversion"/>
  <printOptions horizontalCentered="1" verticalCentered="1"/>
  <pageMargins left="0.15748031496062992" right="0.15748031496062992" top="0.19685039370078741" bottom="0.19685039370078741" header="0.51181102362204722" footer="0.51181102362204722"/>
  <pageSetup paperSize="9" scale="8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HP</cp:lastModifiedBy>
  <cp:lastPrinted>2025-04-10T09:01:20Z</cp:lastPrinted>
  <dcterms:created xsi:type="dcterms:W3CDTF">2023-03-24T12:11:00Z</dcterms:created>
  <dcterms:modified xsi:type="dcterms:W3CDTF">2025-04-15T02:51:04Z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15102CA9DFE14B0EB1590EBA0154DF3E_13</vt:lpwstr>
  </property>
  <property fmtid="{D5CDD505-2E9C-101B-9397-08002B2CF9AE}" pid="3" name="KSOProductBuildVer">
    <vt:lpwstr>2052-12.1.0.16388</vt:lpwstr>
  </property>
  <property fmtid="{D5CDD505-2E9C-101B-9397-08002B2CF9AE}" pid="4" name="KSOReadingLayout">
    <vt:bool>true</vt:bool>
  </property>
</Properties>
</file>