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办公\4月2024\调剂复试\研究生院给的成绩\已办理录取\"/>
    </mc:Choice>
  </mc:AlternateContent>
  <bookViews>
    <workbookView xWindow="0" yWindow="0" windowWidth="28800" windowHeight="14085"/>
  </bookViews>
  <sheets>
    <sheet name="Sheet1" sheetId="3" r:id="rId1"/>
  </sheets>
  <definedNames>
    <definedName name="_xlnm._FilterDatabase" localSheetId="0" hidden="1">Sheet1!$A$2:$W$55</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54" i="3" l="1"/>
  <c r="S53" i="3"/>
  <c r="S52" i="3"/>
  <c r="S51" i="3"/>
  <c r="S50" i="3"/>
  <c r="S49" i="3"/>
  <c r="S48" i="3"/>
  <c r="S47" i="3"/>
  <c r="S46" i="3"/>
  <c r="S45" i="3"/>
  <c r="S44" i="3"/>
  <c r="S43" i="3"/>
  <c r="S42" i="3"/>
  <c r="S41" i="3"/>
  <c r="S40" i="3"/>
  <c r="S39" i="3"/>
  <c r="S38" i="3"/>
  <c r="S37" i="3"/>
  <c r="S36" i="3"/>
  <c r="S35" i="3"/>
  <c r="S34" i="3"/>
  <c r="S33" i="3"/>
  <c r="S32" i="3"/>
  <c r="S31" i="3"/>
  <c r="S30" i="3"/>
  <c r="S29" i="3"/>
  <c r="S28" i="3"/>
  <c r="S27" i="3"/>
  <c r="S26" i="3"/>
  <c r="S25" i="3"/>
  <c r="S24" i="3"/>
  <c r="S23" i="3"/>
  <c r="S22" i="3"/>
  <c r="S21" i="3"/>
  <c r="S20" i="3"/>
  <c r="S19" i="3"/>
  <c r="S18" i="3"/>
  <c r="S17" i="3"/>
  <c r="S16" i="3"/>
  <c r="S15" i="3"/>
  <c r="S14" i="3"/>
  <c r="S13" i="3"/>
  <c r="S12" i="3"/>
  <c r="S11" i="3"/>
  <c r="S10" i="3"/>
  <c r="S9" i="3"/>
  <c r="S8" i="3"/>
  <c r="S7" i="3"/>
  <c r="S6" i="3"/>
  <c r="S5" i="3"/>
  <c r="S4" i="3"/>
  <c r="S3" i="3"/>
</calcChain>
</file>

<file path=xl/sharedStrings.xml><?xml version="1.0" encoding="utf-8"?>
<sst xmlns="http://schemas.openxmlformats.org/spreadsheetml/2006/main" count="533" uniqueCount="194">
  <si>
    <t>复试编号</t>
  </si>
  <si>
    <t>学院代码</t>
  </si>
  <si>
    <t>学院名称</t>
  </si>
  <si>
    <t>专业  代码</t>
  </si>
  <si>
    <t>专业名称</t>
  </si>
  <si>
    <t>研究方向</t>
  </si>
  <si>
    <t>就业  方式</t>
  </si>
  <si>
    <t>姓名</t>
  </si>
  <si>
    <t>考生编号</t>
  </si>
  <si>
    <t>复试科目</t>
  </si>
  <si>
    <t>综合面试</t>
  </si>
  <si>
    <t>外语能力</t>
  </si>
  <si>
    <t>复试总成绩</t>
  </si>
  <si>
    <t>政治理论初试成绩</t>
  </si>
  <si>
    <t>外国语初试成绩</t>
  </si>
  <si>
    <t>业务课一初试成绩</t>
  </si>
  <si>
    <t>业务课二初试成绩</t>
  </si>
  <si>
    <t>初试总成绩</t>
  </si>
  <si>
    <t>最终总成绩</t>
  </si>
  <si>
    <t>同等学力加试1</t>
  </si>
  <si>
    <t>同等学力加试2</t>
  </si>
  <si>
    <t>备注</t>
  </si>
  <si>
    <t>待录取结果</t>
  </si>
  <si>
    <t>556</t>
  </si>
  <si>
    <t>009</t>
  </si>
  <si>
    <t>人工智能学院</t>
  </si>
  <si>
    <t>085411</t>
  </si>
  <si>
    <t>大数据技术与工程</t>
  </si>
  <si>
    <t>00</t>
  </si>
  <si>
    <t>非定向</t>
  </si>
  <si>
    <t>何珍妮</t>
  </si>
  <si>
    <t>100044220807113</t>
  </si>
  <si>
    <t>557</t>
  </si>
  <si>
    <t>张思宇</t>
  </si>
  <si>
    <t>100044501111961</t>
  </si>
  <si>
    <t>558</t>
  </si>
  <si>
    <t>周世昭</t>
  </si>
  <si>
    <t>100134116090104</t>
  </si>
  <si>
    <t>559</t>
  </si>
  <si>
    <t>牛一冰</t>
  </si>
  <si>
    <t>100134357881568</t>
  </si>
  <si>
    <t>560</t>
  </si>
  <si>
    <t>段朝毅</t>
  </si>
  <si>
    <t>101414132501015</t>
  </si>
  <si>
    <t>561</t>
  </si>
  <si>
    <t>刘美琦</t>
  </si>
  <si>
    <t>101454000000615</t>
  </si>
  <si>
    <t>562</t>
  </si>
  <si>
    <t>王秋雯</t>
  </si>
  <si>
    <t>101454000009612</t>
  </si>
  <si>
    <t>563</t>
  </si>
  <si>
    <t>刘振</t>
  </si>
  <si>
    <t>101454000015262</t>
  </si>
  <si>
    <t>564</t>
  </si>
  <si>
    <t>刘泽南</t>
  </si>
  <si>
    <t>101454000018360</t>
  </si>
  <si>
    <t>565</t>
  </si>
  <si>
    <t>曹恽迪</t>
  </si>
  <si>
    <t>102864210207314</t>
  </si>
  <si>
    <t>566</t>
  </si>
  <si>
    <t>杜宇鹏</t>
  </si>
  <si>
    <t>103584210000173</t>
  </si>
  <si>
    <t>567</t>
  </si>
  <si>
    <t>赵嘉伟</t>
  </si>
  <si>
    <t>104234213914270</t>
  </si>
  <si>
    <t>568</t>
  </si>
  <si>
    <t>尹海龙</t>
  </si>
  <si>
    <t>104874000141648</t>
  </si>
  <si>
    <t>569</t>
  </si>
  <si>
    <t>陈科</t>
  </si>
  <si>
    <t>104974300335249</t>
  </si>
  <si>
    <t>570</t>
  </si>
  <si>
    <t>江同尧</t>
  </si>
  <si>
    <t>104974400340606</t>
  </si>
  <si>
    <t>571</t>
  </si>
  <si>
    <t>谭睿</t>
  </si>
  <si>
    <t>105334430605441</t>
  </si>
  <si>
    <t>572</t>
  </si>
  <si>
    <t>张先宇</t>
  </si>
  <si>
    <t>106114024080085</t>
  </si>
  <si>
    <t>573</t>
  </si>
  <si>
    <t>张澜月</t>
  </si>
  <si>
    <t>106144081213787</t>
  </si>
  <si>
    <t>574</t>
  </si>
  <si>
    <t>李成坤</t>
  </si>
  <si>
    <t>106144085412211</t>
  </si>
  <si>
    <t>575</t>
  </si>
  <si>
    <t>龙慧颖</t>
  </si>
  <si>
    <t>910024430600167</t>
  </si>
  <si>
    <t xml:space="preserve">注：1.表中“待录取结果”中包含“是”、“否”和空白内容。“是”表示考生已被待录取；“否”表示考生复试总成绩或综合考核成绩或同等学力考生加试成绩未达到学校成绩合格标准等情况，不能被待录取；“空白”表示考生的总成绩排名在分专业招生计划以外，未获得待录取资格，如已被待录取的考生放弃待录取资格或已被其他志愿待录取等空出计划名额时，学校将按照总成绩排名依次候补待录取。                                                                                                   
2.学校如发现公布的考生信息或结果有问题，将及时更正，并联系相关考生。                                                                                                                                                     3.学校2024年硕士研究生招生复试工作全部完成后，将统一公示拟录取结果。                                                                                                                                                   </t>
  </si>
  <si>
    <t>（学院代码009）人工智能学院调剂考生复试成绩及待录取结果</t>
  </si>
  <si>
    <t>525</t>
  </si>
  <si>
    <t>0812J1</t>
  </si>
  <si>
    <t>人工智能</t>
  </si>
  <si>
    <t>李锐杰</t>
  </si>
  <si>
    <t>101414213906139</t>
  </si>
  <si>
    <t>是</t>
  </si>
  <si>
    <t>524</t>
  </si>
  <si>
    <t>任旭越</t>
  </si>
  <si>
    <t>100014001060034</t>
  </si>
  <si>
    <t>否</t>
  </si>
  <si>
    <t>528</t>
  </si>
  <si>
    <t>李继航</t>
  </si>
  <si>
    <t>107014410810145</t>
  </si>
  <si>
    <t>527</t>
  </si>
  <si>
    <t>李潇博</t>
  </si>
  <si>
    <t>106144081205979</t>
  </si>
  <si>
    <t>526</t>
  </si>
  <si>
    <t>汪琦贺</t>
  </si>
  <si>
    <t>101454000018979</t>
  </si>
  <si>
    <t>553</t>
  </si>
  <si>
    <t>085410</t>
  </si>
  <si>
    <t>李建硕</t>
  </si>
  <si>
    <t>106144081209587</t>
  </si>
  <si>
    <t>552</t>
  </si>
  <si>
    <t>吴海龙</t>
  </si>
  <si>
    <t>106144081207317</t>
  </si>
  <si>
    <t>530</t>
  </si>
  <si>
    <t>闵骏皓</t>
  </si>
  <si>
    <t>100134066090061</t>
  </si>
  <si>
    <t>533</t>
  </si>
  <si>
    <t>韦涛</t>
  </si>
  <si>
    <t>100134229090223</t>
  </si>
  <si>
    <t>548</t>
  </si>
  <si>
    <t>赵翊名</t>
  </si>
  <si>
    <t>102864323512215</t>
  </si>
  <si>
    <t>542</t>
  </si>
  <si>
    <t>苗登国</t>
  </si>
  <si>
    <t>101414370310814</t>
  </si>
  <si>
    <t>531</t>
  </si>
  <si>
    <t>李子康</t>
  </si>
  <si>
    <t>100134066090063</t>
  </si>
  <si>
    <t>549</t>
  </si>
  <si>
    <t>王昱滨</t>
  </si>
  <si>
    <t>103354000923124</t>
  </si>
  <si>
    <t>544</t>
  </si>
  <si>
    <t>沈奥</t>
  </si>
  <si>
    <t>102844213705848</t>
  </si>
  <si>
    <t>551</t>
  </si>
  <si>
    <t>王雨浓</t>
  </si>
  <si>
    <t>106144081200878</t>
  </si>
  <si>
    <t>545</t>
  </si>
  <si>
    <t>李成强</t>
  </si>
  <si>
    <t>102864123406173</t>
  </si>
  <si>
    <t>547</t>
  </si>
  <si>
    <t>袁锐凡</t>
  </si>
  <si>
    <t>102864320203127</t>
  </si>
  <si>
    <t>546</t>
  </si>
  <si>
    <t>赵馨怡</t>
  </si>
  <si>
    <t>102864320203125</t>
  </si>
  <si>
    <t>529</t>
  </si>
  <si>
    <t>赵文靖</t>
  </si>
  <si>
    <t>100034410111569</t>
  </si>
  <si>
    <t>543</t>
  </si>
  <si>
    <t>张文铭</t>
  </si>
  <si>
    <t>102514000000483</t>
  </si>
  <si>
    <t>555</t>
  </si>
  <si>
    <t>钟嘉骥</t>
  </si>
  <si>
    <t>106144085407432</t>
  </si>
  <si>
    <t>541</t>
  </si>
  <si>
    <t>陈世林</t>
  </si>
  <si>
    <t>101414324408918</t>
  </si>
  <si>
    <t>535</t>
  </si>
  <si>
    <t>凌士钊</t>
  </si>
  <si>
    <t>100134279090277</t>
  </si>
  <si>
    <t>536</t>
  </si>
  <si>
    <t>付雍喆</t>
  </si>
  <si>
    <t>101414142002221</t>
  </si>
  <si>
    <t>554</t>
  </si>
  <si>
    <t>郭天杰</t>
  </si>
  <si>
    <t>106144081209947</t>
  </si>
  <si>
    <t>534</t>
  </si>
  <si>
    <t>何子强</t>
  </si>
  <si>
    <t>100134268090263</t>
  </si>
  <si>
    <t>550</t>
  </si>
  <si>
    <t>宋敬炎</t>
  </si>
  <si>
    <t>103584210001142</t>
  </si>
  <si>
    <t>537</t>
  </si>
  <si>
    <t>杨昊澄</t>
  </si>
  <si>
    <t>101414152602707</t>
  </si>
  <si>
    <t>538</t>
  </si>
  <si>
    <t>李鑫博</t>
  </si>
  <si>
    <t>101414211805861</t>
  </si>
  <si>
    <t>540</t>
  </si>
  <si>
    <t>薛文寅仟</t>
  </si>
  <si>
    <t>101414321608742</t>
  </si>
  <si>
    <t>532</t>
  </si>
  <si>
    <t>韦宇轩</t>
  </si>
  <si>
    <t>100134193090175</t>
  </si>
  <si>
    <t>539</t>
  </si>
  <si>
    <t>毛小倩</t>
  </si>
  <si>
    <t>101414213906248</t>
  </si>
  <si>
    <t>放弃</t>
    <phoneticPr fontId="12" type="noConversion"/>
  </si>
  <si>
    <t>是</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</si>
</sst>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_);[Red]\(0.0\)"/>
    <numFmt numFmtId="177" formatCode="0.0_ "/>
    <numFmt numFmtId="178" formatCode="0_);[Red]\(0\)"/>
  </numFmts>
  <fonts count="14" x14ac:knownFonts="1">
    <font>
      <sz val="11"/>
      <color theme="1"/>
      <name val="宋体"/>
      <charset val="134"/>
      <scheme val="minor"/>
    </font>
    <font>
      <sz val="9"/>
      <color theme="1"/>
      <name val="宋体"/>
      <charset val="134"/>
      <scheme val="minor"/>
    </font>
    <font>
      <sz val="10"/>
      <name val="Arial"/>
      <family val="2"/>
    </font>
    <font>
      <sz val="14"/>
      <name val="黑体"/>
      <charset val="134"/>
    </font>
    <font>
      <sz val="9"/>
      <name val="仿宋"/>
      <charset val="134"/>
    </font>
    <font>
      <sz val="10"/>
      <color rgb="FFFF0000"/>
      <name val="宋体"/>
      <charset val="134"/>
    </font>
    <font>
      <sz val="9"/>
      <name val="Arial"/>
      <family val="2"/>
    </font>
    <font>
      <sz val="9"/>
      <name val="宋体"/>
      <charset val="134"/>
    </font>
    <font>
      <sz val="9"/>
      <color rgb="FFFF0000"/>
      <name val="宋体"/>
      <charset val="134"/>
      <scheme val="minor"/>
    </font>
    <font>
      <sz val="9"/>
      <name val="宋体"/>
      <charset val="134"/>
    </font>
    <font>
      <sz val="9"/>
      <color rgb="FFFF0000"/>
      <name val="Arial"/>
      <family val="2"/>
    </font>
    <font>
      <sz val="9"/>
      <color rgb="FFFF0000"/>
      <name val="宋体"/>
      <charset val="134"/>
    </font>
    <font>
      <sz val="9"/>
      <name val="宋体"/>
      <charset val="134"/>
      <scheme val="minor"/>
    </font>
    <font>
      <sz val="9"/>
      <name val="宋体"/>
      <family val="3"/>
      <charset val="134"/>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2" fillId="0" borderId="0"/>
  </cellStyleXfs>
  <cellXfs count="30">
    <xf numFmtId="0" fontId="0" fillId="0" borderId="0" xfId="0">
      <alignment vertical="center"/>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0" fillId="2" borderId="0" xfId="0" applyFill="1">
      <alignment vertical="center"/>
    </xf>
    <xf numFmtId="0" fontId="2" fillId="2" borderId="0" xfId="0" applyFont="1" applyFill="1" applyBorder="1" applyAlignment="1">
      <alignment horizontal="center" vertical="center" wrapText="1"/>
    </xf>
    <xf numFmtId="49" fontId="2" fillId="2" borderId="0" xfId="0" applyNumberFormat="1" applyFont="1" applyFill="1" applyBorder="1" applyAlignment="1">
      <alignment horizontal="center" vertical="center" wrapText="1"/>
    </xf>
    <xf numFmtId="176" fontId="2" fillId="2" borderId="0" xfId="0" applyNumberFormat="1" applyFont="1" applyFill="1" applyBorder="1" applyAlignment="1">
      <alignment horizontal="center" vertical="center" wrapText="1"/>
    </xf>
    <xf numFmtId="177" fontId="2" fillId="2" borderId="0" xfId="0" applyNumberFormat="1" applyFont="1" applyFill="1" applyBorder="1" applyAlignment="1">
      <alignment horizontal="center" vertical="center" wrapText="1"/>
    </xf>
    <xf numFmtId="178" fontId="2" fillId="2" borderId="0"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49" fontId="1"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49" fontId="4" fillId="2" borderId="1" xfId="0" applyNumberFormat="1" applyFont="1" applyFill="1" applyBorder="1" applyAlignment="1">
      <alignment horizontal="center" vertical="center" wrapText="1"/>
    </xf>
    <xf numFmtId="176" fontId="4" fillId="2" borderId="1" xfId="0" applyNumberFormat="1" applyFont="1" applyFill="1" applyBorder="1" applyAlignment="1">
      <alignment horizontal="center" vertical="center" wrapText="1"/>
    </xf>
    <xf numFmtId="176" fontId="1" fillId="0" borderId="1" xfId="0" applyNumberFormat="1" applyFont="1" applyBorder="1" applyAlignment="1">
      <alignment horizontal="center" vertical="center" wrapText="1"/>
    </xf>
    <xf numFmtId="178" fontId="4" fillId="2" borderId="1" xfId="0" applyNumberFormat="1" applyFont="1" applyFill="1" applyBorder="1" applyAlignment="1">
      <alignment horizontal="center" vertical="center" wrapText="1"/>
    </xf>
    <xf numFmtId="177" fontId="4" fillId="2" borderId="1" xfId="0" applyNumberFormat="1" applyFont="1" applyFill="1" applyBorder="1" applyAlignment="1">
      <alignment horizontal="center" vertical="center" wrapText="1"/>
    </xf>
    <xf numFmtId="176" fontId="6" fillId="2" borderId="1" xfId="0" applyNumberFormat="1" applyFont="1" applyFill="1" applyBorder="1" applyAlignment="1">
      <alignment horizontal="center" vertical="center" wrapText="1"/>
    </xf>
    <xf numFmtId="177" fontId="6" fillId="2" borderId="1" xfId="0" applyNumberFormat="1" applyFont="1" applyFill="1" applyBorder="1" applyAlignment="1">
      <alignment horizontal="center" vertical="center" wrapText="1"/>
    </xf>
    <xf numFmtId="176" fontId="8"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177" fontId="9" fillId="2" borderId="1" xfId="0" applyNumberFormat="1" applyFont="1" applyFill="1" applyBorder="1" applyAlignment="1">
      <alignment horizontal="center" vertical="center" wrapText="1"/>
    </xf>
    <xf numFmtId="176" fontId="10" fillId="2" borderId="1" xfId="0" applyNumberFormat="1" applyFont="1" applyFill="1" applyBorder="1" applyAlignment="1">
      <alignment horizontal="center" vertical="center" wrapText="1"/>
    </xf>
    <xf numFmtId="177" fontId="10" fillId="2" borderId="1" xfId="0" applyNumberFormat="1" applyFont="1" applyFill="1" applyBorder="1" applyAlignment="1">
      <alignment horizontal="center" vertical="center" wrapText="1"/>
    </xf>
    <xf numFmtId="177" fontId="11" fillId="2" borderId="1" xfId="0" applyNumberFormat="1" applyFont="1" applyFill="1" applyBorder="1" applyAlignment="1">
      <alignment horizontal="center" vertical="center" wrapText="1"/>
    </xf>
    <xf numFmtId="177" fontId="7" fillId="2" borderId="1" xfId="0" applyNumberFormat="1" applyFont="1" applyFill="1" applyBorder="1" applyAlignment="1">
      <alignment horizontal="center" vertical="center" wrapText="1"/>
    </xf>
    <xf numFmtId="177" fontId="13" fillId="2" borderId="1" xfId="0" applyNumberFormat="1" applyFont="1" applyFill="1" applyBorder="1" applyAlignment="1">
      <alignment horizontal="center" vertical="center" wrapText="1"/>
    </xf>
    <xf numFmtId="0" fontId="3" fillId="2" borderId="0"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0" fillId="0" borderId="1" xfId="0" applyBorder="1" applyAlignment="1">
      <alignment horizontal="left" vertical="center"/>
    </xf>
  </cellXfs>
  <cellStyles count="2">
    <cellStyle name="常规"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55"/>
  <sheetViews>
    <sheetView tabSelected="1" view="pageBreakPreview" zoomScale="85" zoomScaleNormal="100" zoomScaleSheetLayoutView="85" workbookViewId="0">
      <pane ySplit="2" topLeftCell="A3" activePane="bottomLeft" state="frozen"/>
      <selection pane="bottomLeft" sqref="A1:W1"/>
    </sheetView>
  </sheetViews>
  <sheetFormatPr defaultColWidth="9" defaultRowHeight="13.5" x14ac:dyDescent="0.15"/>
  <cols>
    <col min="1" max="1" width="5.125" style="3" customWidth="1"/>
    <col min="2" max="2" width="4.75" style="3" customWidth="1"/>
    <col min="3" max="3" width="15" style="3" customWidth="1"/>
    <col min="4" max="4" width="6.125" style="4" customWidth="1"/>
    <col min="5" max="5" width="16.5" style="4" customWidth="1"/>
    <col min="6" max="6" width="4.625" style="4" customWidth="1"/>
    <col min="7" max="7" width="5.75" style="4" customWidth="1"/>
    <col min="8" max="8" width="6.25" style="4" customWidth="1"/>
    <col min="9" max="9" width="14" style="5" customWidth="1"/>
    <col min="10" max="10" width="5.25" style="6" customWidth="1"/>
    <col min="11" max="11" width="5.5" style="6" customWidth="1"/>
    <col min="12" max="12" width="5.25" style="6" customWidth="1"/>
    <col min="13" max="13" width="6" style="6" customWidth="1"/>
    <col min="14" max="14" width="5.125" style="7" customWidth="1"/>
    <col min="15" max="15" width="5.375" style="6" customWidth="1"/>
    <col min="16" max="16" width="5.5" style="6" customWidth="1"/>
    <col min="17" max="17" width="5.625" style="6" customWidth="1"/>
    <col min="18" max="18" width="5.375" style="8" customWidth="1"/>
    <col min="19" max="19" width="6.125" style="6" customWidth="1"/>
    <col min="20" max="20" width="5.125" style="6" customWidth="1"/>
    <col min="21" max="21" width="5" style="6" customWidth="1"/>
    <col min="22" max="22" width="7.125" style="7" customWidth="1"/>
    <col min="23" max="23" width="7.625" style="7" customWidth="1"/>
    <col min="24" max="16384" width="9" style="3"/>
  </cols>
  <sheetData>
    <row r="1" spans="1:23" ht="42.95" customHeight="1" x14ac:dyDescent="0.15">
      <c r="A1" s="27" t="s">
        <v>90</v>
      </c>
      <c r="B1" s="27"/>
      <c r="C1" s="27"/>
      <c r="D1" s="27"/>
      <c r="E1" s="27"/>
      <c r="F1" s="27"/>
      <c r="G1" s="27"/>
      <c r="H1" s="27"/>
      <c r="I1" s="27"/>
      <c r="J1" s="27"/>
      <c r="K1" s="27"/>
      <c r="L1" s="27"/>
      <c r="M1" s="27"/>
      <c r="N1" s="27"/>
      <c r="O1" s="27"/>
      <c r="P1" s="27"/>
      <c r="Q1" s="27"/>
      <c r="R1" s="27"/>
      <c r="S1" s="27"/>
      <c r="T1" s="27"/>
      <c r="U1" s="27"/>
      <c r="V1" s="27"/>
      <c r="W1" s="27"/>
    </row>
    <row r="2" spans="1:23" s="1" customFormat="1" ht="33.75" x14ac:dyDescent="0.15">
      <c r="A2" s="9" t="s">
        <v>0</v>
      </c>
      <c r="B2" s="9" t="s">
        <v>1</v>
      </c>
      <c r="C2" s="9" t="s">
        <v>2</v>
      </c>
      <c r="D2" s="9" t="s">
        <v>3</v>
      </c>
      <c r="E2" s="9" t="s">
        <v>4</v>
      </c>
      <c r="F2" s="9" t="s">
        <v>5</v>
      </c>
      <c r="G2" s="9" t="s">
        <v>6</v>
      </c>
      <c r="H2" s="9" t="s">
        <v>7</v>
      </c>
      <c r="I2" s="12" t="s">
        <v>8</v>
      </c>
      <c r="J2" s="13" t="s">
        <v>9</v>
      </c>
      <c r="K2" s="13" t="s">
        <v>10</v>
      </c>
      <c r="L2" s="13" t="s">
        <v>11</v>
      </c>
      <c r="M2" s="13" t="s">
        <v>12</v>
      </c>
      <c r="N2" s="13" t="s">
        <v>13</v>
      </c>
      <c r="O2" s="13" t="s">
        <v>14</v>
      </c>
      <c r="P2" s="13" t="s">
        <v>15</v>
      </c>
      <c r="Q2" s="13" t="s">
        <v>16</v>
      </c>
      <c r="R2" s="15" t="s">
        <v>17</v>
      </c>
      <c r="S2" s="13" t="s">
        <v>18</v>
      </c>
      <c r="T2" s="13" t="s">
        <v>19</v>
      </c>
      <c r="U2" s="13" t="s">
        <v>20</v>
      </c>
      <c r="V2" s="16" t="s">
        <v>21</v>
      </c>
      <c r="W2" s="16" t="s">
        <v>22</v>
      </c>
    </row>
    <row r="3" spans="1:23" s="2" customFormat="1" ht="30" customHeight="1" x14ac:dyDescent="0.15">
      <c r="A3" s="10" t="s">
        <v>91</v>
      </c>
      <c r="B3" s="11" t="s">
        <v>24</v>
      </c>
      <c r="C3" s="11" t="s">
        <v>25</v>
      </c>
      <c r="D3" s="11" t="s">
        <v>92</v>
      </c>
      <c r="E3" s="11" t="s">
        <v>93</v>
      </c>
      <c r="F3" s="11" t="s">
        <v>28</v>
      </c>
      <c r="G3" s="11" t="s">
        <v>29</v>
      </c>
      <c r="H3" s="11" t="s">
        <v>94</v>
      </c>
      <c r="I3" s="11" t="s">
        <v>95</v>
      </c>
      <c r="J3" s="14">
        <v>50.4</v>
      </c>
      <c r="K3" s="14">
        <v>83.2</v>
      </c>
      <c r="L3" s="14">
        <v>22</v>
      </c>
      <c r="M3" s="14">
        <v>155.6</v>
      </c>
      <c r="N3" s="11">
        <v>73</v>
      </c>
      <c r="O3" s="11">
        <v>84</v>
      </c>
      <c r="P3" s="11">
        <v>95</v>
      </c>
      <c r="Q3" s="11">
        <v>119</v>
      </c>
      <c r="R3" s="11">
        <v>371</v>
      </c>
      <c r="S3" s="17">
        <f>SUM(R3,M3)</f>
        <v>526.6</v>
      </c>
      <c r="T3" s="17"/>
      <c r="U3" s="17"/>
      <c r="V3" s="18"/>
      <c r="W3" s="25" t="s">
        <v>192</v>
      </c>
    </row>
    <row r="4" spans="1:23" s="2" customFormat="1" ht="30" customHeight="1" x14ac:dyDescent="0.15">
      <c r="A4" s="10" t="s">
        <v>97</v>
      </c>
      <c r="B4" s="11" t="s">
        <v>24</v>
      </c>
      <c r="C4" s="11" t="s">
        <v>25</v>
      </c>
      <c r="D4" s="11" t="s">
        <v>92</v>
      </c>
      <c r="E4" s="11" t="s">
        <v>93</v>
      </c>
      <c r="F4" s="11" t="s">
        <v>28</v>
      </c>
      <c r="G4" s="11" t="s">
        <v>29</v>
      </c>
      <c r="H4" s="11" t="s">
        <v>98</v>
      </c>
      <c r="I4" s="11" t="s">
        <v>99</v>
      </c>
      <c r="J4" s="19">
        <v>3.4</v>
      </c>
      <c r="K4" s="19">
        <v>81.400000000000006</v>
      </c>
      <c r="L4" s="19">
        <v>20.8</v>
      </c>
      <c r="M4" s="19">
        <v>105.6</v>
      </c>
      <c r="N4" s="20">
        <v>69</v>
      </c>
      <c r="O4" s="20">
        <v>66</v>
      </c>
      <c r="P4" s="20">
        <v>119</v>
      </c>
      <c r="Q4" s="20">
        <v>119</v>
      </c>
      <c r="R4" s="20">
        <v>373</v>
      </c>
      <c r="S4" s="22">
        <f>SUM(R4,M4)</f>
        <v>478.6</v>
      </c>
      <c r="T4" s="17"/>
      <c r="U4" s="22"/>
      <c r="V4" s="23"/>
      <c r="W4" s="24" t="s">
        <v>100</v>
      </c>
    </row>
    <row r="5" spans="1:23" s="2" customFormat="1" ht="30" customHeight="1" x14ac:dyDescent="0.15">
      <c r="A5" s="10" t="s">
        <v>101</v>
      </c>
      <c r="B5" s="11" t="s">
        <v>24</v>
      </c>
      <c r="C5" s="11" t="s">
        <v>25</v>
      </c>
      <c r="D5" s="11" t="s">
        <v>92</v>
      </c>
      <c r="E5" s="11" t="s">
        <v>93</v>
      </c>
      <c r="F5" s="11" t="s">
        <v>28</v>
      </c>
      <c r="G5" s="11" t="s">
        <v>29</v>
      </c>
      <c r="H5" s="11" t="s">
        <v>102</v>
      </c>
      <c r="I5" s="11" t="s">
        <v>103</v>
      </c>
      <c r="J5" s="14">
        <v>33.799999999999997</v>
      </c>
      <c r="K5" s="14">
        <v>78.599999999999994</v>
      </c>
      <c r="L5" s="14">
        <v>20.399999999999999</v>
      </c>
      <c r="M5" s="14">
        <v>132.80000000000001</v>
      </c>
      <c r="N5" s="11">
        <v>69</v>
      </c>
      <c r="O5" s="11">
        <v>60</v>
      </c>
      <c r="P5" s="11">
        <v>95</v>
      </c>
      <c r="Q5" s="11">
        <v>120</v>
      </c>
      <c r="R5" s="11">
        <v>344</v>
      </c>
      <c r="S5" s="17">
        <f>SUM(R5,M5)</f>
        <v>476.8</v>
      </c>
      <c r="T5" s="17"/>
      <c r="U5" s="17"/>
      <c r="V5" s="18"/>
      <c r="W5" s="26" t="s">
        <v>193</v>
      </c>
    </row>
    <row r="6" spans="1:23" s="2" customFormat="1" ht="30" customHeight="1" x14ac:dyDescent="0.15">
      <c r="A6" s="10" t="s">
        <v>104</v>
      </c>
      <c r="B6" s="11" t="s">
        <v>24</v>
      </c>
      <c r="C6" s="11" t="s">
        <v>25</v>
      </c>
      <c r="D6" s="11" t="s">
        <v>92</v>
      </c>
      <c r="E6" s="11" t="s">
        <v>93</v>
      </c>
      <c r="F6" s="11" t="s">
        <v>28</v>
      </c>
      <c r="G6" s="11" t="s">
        <v>29</v>
      </c>
      <c r="H6" s="11" t="s">
        <v>105</v>
      </c>
      <c r="I6" s="11" t="s">
        <v>106</v>
      </c>
      <c r="J6" s="19">
        <v>26.6</v>
      </c>
      <c r="K6" s="19">
        <v>78.8</v>
      </c>
      <c r="L6" s="19">
        <v>22.6</v>
      </c>
      <c r="M6" s="19">
        <v>128</v>
      </c>
      <c r="N6" s="20">
        <v>65</v>
      </c>
      <c r="O6" s="20">
        <v>73</v>
      </c>
      <c r="P6" s="20">
        <v>99</v>
      </c>
      <c r="Q6" s="20">
        <v>107</v>
      </c>
      <c r="R6" s="20">
        <v>344</v>
      </c>
      <c r="S6" s="22">
        <f>SUM(R6,M6)</f>
        <v>472</v>
      </c>
      <c r="T6" s="17"/>
      <c r="U6" s="22"/>
      <c r="V6" s="23"/>
      <c r="W6" s="24" t="s">
        <v>100</v>
      </c>
    </row>
    <row r="7" spans="1:23" s="2" customFormat="1" ht="30" customHeight="1" x14ac:dyDescent="0.15">
      <c r="A7" s="10" t="s">
        <v>107</v>
      </c>
      <c r="B7" s="11" t="s">
        <v>24</v>
      </c>
      <c r="C7" s="11" t="s">
        <v>25</v>
      </c>
      <c r="D7" s="11" t="s">
        <v>92</v>
      </c>
      <c r="E7" s="11" t="s">
        <v>93</v>
      </c>
      <c r="F7" s="11" t="s">
        <v>28</v>
      </c>
      <c r="G7" s="11" t="s">
        <v>29</v>
      </c>
      <c r="H7" s="11" t="s">
        <v>108</v>
      </c>
      <c r="I7" s="11" t="s">
        <v>109</v>
      </c>
      <c r="J7" s="19">
        <v>0</v>
      </c>
      <c r="K7" s="19">
        <v>0</v>
      </c>
      <c r="L7" s="19">
        <v>0</v>
      </c>
      <c r="M7" s="19">
        <v>0</v>
      </c>
      <c r="N7" s="20">
        <v>68</v>
      </c>
      <c r="O7" s="20">
        <v>65</v>
      </c>
      <c r="P7" s="20">
        <v>114</v>
      </c>
      <c r="Q7" s="20">
        <v>111</v>
      </c>
      <c r="R7" s="20">
        <v>358</v>
      </c>
      <c r="S7" s="22">
        <f>SUM(R7,M7)</f>
        <v>358</v>
      </c>
      <c r="T7" s="17"/>
      <c r="U7" s="22"/>
      <c r="V7" s="23"/>
      <c r="W7" s="24" t="s">
        <v>100</v>
      </c>
    </row>
    <row r="8" spans="1:23" s="2" customFormat="1" ht="30" customHeight="1" x14ac:dyDescent="0.15">
      <c r="A8" s="10" t="s">
        <v>110</v>
      </c>
      <c r="B8" s="11" t="s">
        <v>24</v>
      </c>
      <c r="C8" s="11" t="s">
        <v>25</v>
      </c>
      <c r="D8" s="11" t="s">
        <v>111</v>
      </c>
      <c r="E8" s="11" t="s">
        <v>93</v>
      </c>
      <c r="F8" s="11" t="s">
        <v>28</v>
      </c>
      <c r="G8" s="11" t="s">
        <v>29</v>
      </c>
      <c r="H8" s="11" t="s">
        <v>112</v>
      </c>
      <c r="I8" s="11" t="s">
        <v>113</v>
      </c>
      <c r="J8" s="14">
        <v>55.643368000000002</v>
      </c>
      <c r="K8" s="14">
        <v>82.264116000000001</v>
      </c>
      <c r="L8" s="14">
        <v>23.418251999999999</v>
      </c>
      <c r="M8" s="14">
        <v>161.32573600000001</v>
      </c>
      <c r="N8" s="11">
        <v>78</v>
      </c>
      <c r="O8" s="11">
        <v>83</v>
      </c>
      <c r="P8" s="11">
        <v>97</v>
      </c>
      <c r="Q8" s="11">
        <v>102</v>
      </c>
      <c r="R8" s="11">
        <v>360</v>
      </c>
      <c r="S8" s="17">
        <f t="shared" ref="S8:S54" si="0">SUM(M8,R8)</f>
        <v>521.32573600000001</v>
      </c>
      <c r="T8" s="17"/>
      <c r="U8" s="17"/>
      <c r="V8" s="18"/>
      <c r="W8" s="21" t="s">
        <v>96</v>
      </c>
    </row>
    <row r="9" spans="1:23" s="2" customFormat="1" ht="30" customHeight="1" x14ac:dyDescent="0.15">
      <c r="A9" s="10" t="s">
        <v>114</v>
      </c>
      <c r="B9" s="11" t="s">
        <v>24</v>
      </c>
      <c r="C9" s="11" t="s">
        <v>25</v>
      </c>
      <c r="D9" s="11" t="s">
        <v>111</v>
      </c>
      <c r="E9" s="11" t="s">
        <v>93</v>
      </c>
      <c r="F9" s="11" t="s">
        <v>28</v>
      </c>
      <c r="G9" s="11" t="s">
        <v>29</v>
      </c>
      <c r="H9" s="11" t="s">
        <v>115</v>
      </c>
      <c r="I9" s="11" t="s">
        <v>116</v>
      </c>
      <c r="J9" s="14">
        <v>64.599999999999994</v>
      </c>
      <c r="K9" s="14">
        <v>70.400000000000006</v>
      </c>
      <c r="L9" s="14">
        <v>21</v>
      </c>
      <c r="M9" s="14">
        <v>156</v>
      </c>
      <c r="N9" s="11">
        <v>72</v>
      </c>
      <c r="O9" s="11">
        <v>75</v>
      </c>
      <c r="P9" s="11">
        <v>85</v>
      </c>
      <c r="Q9" s="11">
        <v>121</v>
      </c>
      <c r="R9" s="11">
        <v>353</v>
      </c>
      <c r="S9" s="17">
        <f t="shared" si="0"/>
        <v>509</v>
      </c>
      <c r="T9" s="17"/>
      <c r="U9" s="17"/>
      <c r="V9" s="18"/>
      <c r="W9" s="21" t="s">
        <v>96</v>
      </c>
    </row>
    <row r="10" spans="1:23" s="2" customFormat="1" ht="30" customHeight="1" x14ac:dyDescent="0.15">
      <c r="A10" s="10" t="s">
        <v>117</v>
      </c>
      <c r="B10" s="11" t="s">
        <v>24</v>
      </c>
      <c r="C10" s="11" t="s">
        <v>25</v>
      </c>
      <c r="D10" s="11" t="s">
        <v>111</v>
      </c>
      <c r="E10" s="11" t="s">
        <v>93</v>
      </c>
      <c r="F10" s="11" t="s">
        <v>28</v>
      </c>
      <c r="G10" s="11" t="s">
        <v>29</v>
      </c>
      <c r="H10" s="11" t="s">
        <v>118</v>
      </c>
      <c r="I10" s="11" t="s">
        <v>119</v>
      </c>
      <c r="J10" s="14">
        <v>57.2</v>
      </c>
      <c r="K10" s="14">
        <v>71</v>
      </c>
      <c r="L10" s="14">
        <v>20.2</v>
      </c>
      <c r="M10" s="14">
        <v>148.4</v>
      </c>
      <c r="N10" s="11">
        <v>63</v>
      </c>
      <c r="O10" s="11">
        <v>65</v>
      </c>
      <c r="P10" s="11">
        <v>88</v>
      </c>
      <c r="Q10" s="11">
        <v>137</v>
      </c>
      <c r="R10" s="11">
        <v>353</v>
      </c>
      <c r="S10" s="17">
        <f t="shared" si="0"/>
        <v>501.4</v>
      </c>
      <c r="T10" s="17"/>
      <c r="U10" s="17"/>
      <c r="V10" s="18"/>
      <c r="W10" s="21" t="s">
        <v>96</v>
      </c>
    </row>
    <row r="11" spans="1:23" s="2" customFormat="1" ht="30" customHeight="1" x14ac:dyDescent="0.15">
      <c r="A11" s="10" t="s">
        <v>120</v>
      </c>
      <c r="B11" s="11" t="s">
        <v>24</v>
      </c>
      <c r="C11" s="11" t="s">
        <v>25</v>
      </c>
      <c r="D11" s="11" t="s">
        <v>111</v>
      </c>
      <c r="E11" s="11" t="s">
        <v>93</v>
      </c>
      <c r="F11" s="11" t="s">
        <v>28</v>
      </c>
      <c r="G11" s="11" t="s">
        <v>29</v>
      </c>
      <c r="H11" s="11" t="s">
        <v>121</v>
      </c>
      <c r="I11" s="11" t="s">
        <v>122</v>
      </c>
      <c r="J11" s="14">
        <v>52.8</v>
      </c>
      <c r="K11" s="14">
        <v>72.099999999999994</v>
      </c>
      <c r="L11" s="14">
        <v>19.600000000000001</v>
      </c>
      <c r="M11" s="14">
        <v>144.5</v>
      </c>
      <c r="N11" s="11">
        <v>62</v>
      </c>
      <c r="O11" s="11">
        <v>74</v>
      </c>
      <c r="P11" s="11">
        <v>85</v>
      </c>
      <c r="Q11" s="11">
        <v>135</v>
      </c>
      <c r="R11" s="11">
        <v>356</v>
      </c>
      <c r="S11" s="17">
        <f t="shared" si="0"/>
        <v>500.5</v>
      </c>
      <c r="T11" s="17"/>
      <c r="U11" s="17"/>
      <c r="V11" s="18"/>
      <c r="W11" s="21" t="s">
        <v>96</v>
      </c>
    </row>
    <row r="12" spans="1:23" s="2" customFormat="1" ht="30" customHeight="1" x14ac:dyDescent="0.15">
      <c r="A12" s="10" t="s">
        <v>123</v>
      </c>
      <c r="B12" s="11" t="s">
        <v>24</v>
      </c>
      <c r="C12" s="11" t="s">
        <v>25</v>
      </c>
      <c r="D12" s="11" t="s">
        <v>111</v>
      </c>
      <c r="E12" s="11" t="s">
        <v>93</v>
      </c>
      <c r="F12" s="11" t="s">
        <v>28</v>
      </c>
      <c r="G12" s="11" t="s">
        <v>29</v>
      </c>
      <c r="H12" s="11" t="s">
        <v>124</v>
      </c>
      <c r="I12" s="11" t="s">
        <v>125</v>
      </c>
      <c r="J12" s="14">
        <v>25.619968</v>
      </c>
      <c r="K12" s="14">
        <v>82.664428000000001</v>
      </c>
      <c r="L12" s="14">
        <v>23.618407999999999</v>
      </c>
      <c r="M12" s="14">
        <v>131.902804</v>
      </c>
      <c r="N12" s="11">
        <v>65</v>
      </c>
      <c r="O12" s="11">
        <v>73</v>
      </c>
      <c r="P12" s="11">
        <v>122</v>
      </c>
      <c r="Q12" s="11">
        <v>108</v>
      </c>
      <c r="R12" s="11">
        <v>368</v>
      </c>
      <c r="S12" s="17">
        <f t="shared" si="0"/>
        <v>499.902804</v>
      </c>
      <c r="T12" s="17"/>
      <c r="U12" s="17"/>
      <c r="V12" s="18"/>
      <c r="W12" s="21" t="s">
        <v>96</v>
      </c>
    </row>
    <row r="13" spans="1:23" s="2" customFormat="1" ht="30" customHeight="1" x14ac:dyDescent="0.15">
      <c r="A13" s="10" t="s">
        <v>126</v>
      </c>
      <c r="B13" s="11" t="s">
        <v>24</v>
      </c>
      <c r="C13" s="11" t="s">
        <v>25</v>
      </c>
      <c r="D13" s="11" t="s">
        <v>111</v>
      </c>
      <c r="E13" s="11" t="s">
        <v>93</v>
      </c>
      <c r="F13" s="11" t="s">
        <v>28</v>
      </c>
      <c r="G13" s="11" t="s">
        <v>29</v>
      </c>
      <c r="H13" s="11" t="s">
        <v>127</v>
      </c>
      <c r="I13" s="11" t="s">
        <v>128</v>
      </c>
      <c r="J13" s="14">
        <v>52</v>
      </c>
      <c r="K13" s="14">
        <v>67</v>
      </c>
      <c r="L13" s="14">
        <v>15</v>
      </c>
      <c r="M13" s="14">
        <v>134</v>
      </c>
      <c r="N13" s="11">
        <v>72</v>
      </c>
      <c r="O13" s="11">
        <v>76</v>
      </c>
      <c r="P13" s="11">
        <v>85</v>
      </c>
      <c r="Q13" s="11">
        <v>126</v>
      </c>
      <c r="R13" s="11">
        <v>359</v>
      </c>
      <c r="S13" s="17">
        <f t="shared" si="0"/>
        <v>493</v>
      </c>
      <c r="T13" s="17"/>
      <c r="U13" s="17"/>
      <c r="V13" s="18"/>
      <c r="W13" s="21" t="s">
        <v>96</v>
      </c>
    </row>
    <row r="14" spans="1:23" s="2" customFormat="1" ht="30" customHeight="1" x14ac:dyDescent="0.15">
      <c r="A14" s="10" t="s">
        <v>129</v>
      </c>
      <c r="B14" s="11" t="s">
        <v>24</v>
      </c>
      <c r="C14" s="11" t="s">
        <v>25</v>
      </c>
      <c r="D14" s="11" t="s">
        <v>111</v>
      </c>
      <c r="E14" s="11" t="s">
        <v>93</v>
      </c>
      <c r="F14" s="11" t="s">
        <v>28</v>
      </c>
      <c r="G14" s="11" t="s">
        <v>29</v>
      </c>
      <c r="H14" s="11" t="s">
        <v>130</v>
      </c>
      <c r="I14" s="11" t="s">
        <v>131</v>
      </c>
      <c r="J14" s="14">
        <v>40.231355999999998</v>
      </c>
      <c r="K14" s="14">
        <v>78.461151999999998</v>
      </c>
      <c r="L14" s="14">
        <v>13.610607999999999</v>
      </c>
      <c r="M14" s="14">
        <v>132.30311599999999</v>
      </c>
      <c r="N14" s="11">
        <v>63</v>
      </c>
      <c r="O14" s="11">
        <v>58</v>
      </c>
      <c r="P14" s="11">
        <v>111</v>
      </c>
      <c r="Q14" s="11">
        <v>128</v>
      </c>
      <c r="R14" s="11">
        <v>360</v>
      </c>
      <c r="S14" s="17">
        <f t="shared" si="0"/>
        <v>492.30311599999999</v>
      </c>
      <c r="T14" s="17"/>
      <c r="U14" s="17"/>
      <c r="V14" s="18"/>
      <c r="W14" s="21" t="s">
        <v>96</v>
      </c>
    </row>
    <row r="15" spans="1:23" s="2" customFormat="1" ht="30" customHeight="1" x14ac:dyDescent="0.15">
      <c r="A15" s="10" t="s">
        <v>132</v>
      </c>
      <c r="B15" s="11" t="s">
        <v>24</v>
      </c>
      <c r="C15" s="11" t="s">
        <v>25</v>
      </c>
      <c r="D15" s="11" t="s">
        <v>111</v>
      </c>
      <c r="E15" s="11" t="s">
        <v>93</v>
      </c>
      <c r="F15" s="11" t="s">
        <v>28</v>
      </c>
      <c r="G15" s="11" t="s">
        <v>29</v>
      </c>
      <c r="H15" s="11" t="s">
        <v>133</v>
      </c>
      <c r="I15" s="11" t="s">
        <v>134</v>
      </c>
      <c r="J15" s="19">
        <v>17.213415999999999</v>
      </c>
      <c r="K15" s="19">
        <v>78.461151999999998</v>
      </c>
      <c r="L15" s="19">
        <v>20.616067999999999</v>
      </c>
      <c r="M15" s="19">
        <v>116.29063600000001</v>
      </c>
      <c r="N15" s="20">
        <v>70</v>
      </c>
      <c r="O15" s="20">
        <v>70</v>
      </c>
      <c r="P15" s="20">
        <v>132</v>
      </c>
      <c r="Q15" s="20">
        <v>104</v>
      </c>
      <c r="R15" s="20">
        <v>376</v>
      </c>
      <c r="S15" s="22">
        <f t="shared" si="0"/>
        <v>492.29063600000001</v>
      </c>
      <c r="T15" s="17"/>
      <c r="U15" s="22"/>
      <c r="V15" s="23"/>
      <c r="W15" s="24" t="s">
        <v>100</v>
      </c>
    </row>
    <row r="16" spans="1:23" s="2" customFormat="1" ht="30" customHeight="1" x14ac:dyDescent="0.15">
      <c r="A16" s="10" t="s">
        <v>135</v>
      </c>
      <c r="B16" s="11" t="s">
        <v>24</v>
      </c>
      <c r="C16" s="11" t="s">
        <v>25</v>
      </c>
      <c r="D16" s="11" t="s">
        <v>111</v>
      </c>
      <c r="E16" s="11" t="s">
        <v>93</v>
      </c>
      <c r="F16" s="11" t="s">
        <v>28</v>
      </c>
      <c r="G16" s="11" t="s">
        <v>29</v>
      </c>
      <c r="H16" s="11" t="s">
        <v>136</v>
      </c>
      <c r="I16" s="11" t="s">
        <v>137</v>
      </c>
      <c r="J16" s="14">
        <v>33.4</v>
      </c>
      <c r="K16" s="14">
        <v>73.3</v>
      </c>
      <c r="L16" s="14">
        <v>24.8</v>
      </c>
      <c r="M16" s="14">
        <v>131.5</v>
      </c>
      <c r="N16" s="11">
        <v>67</v>
      </c>
      <c r="O16" s="11">
        <v>87</v>
      </c>
      <c r="P16" s="11">
        <v>98</v>
      </c>
      <c r="Q16" s="11">
        <v>104</v>
      </c>
      <c r="R16" s="11">
        <v>356</v>
      </c>
      <c r="S16" s="17">
        <f t="shared" si="0"/>
        <v>487.5</v>
      </c>
      <c r="T16" s="17"/>
      <c r="U16" s="17"/>
      <c r="V16" s="18"/>
      <c r="W16" s="18"/>
    </row>
    <row r="17" spans="1:23" s="2" customFormat="1" ht="30" customHeight="1" x14ac:dyDescent="0.15">
      <c r="A17" s="10" t="s">
        <v>138</v>
      </c>
      <c r="B17" s="11" t="s">
        <v>24</v>
      </c>
      <c r="C17" s="11" t="s">
        <v>25</v>
      </c>
      <c r="D17" s="11" t="s">
        <v>111</v>
      </c>
      <c r="E17" s="11" t="s">
        <v>93</v>
      </c>
      <c r="F17" s="11" t="s">
        <v>28</v>
      </c>
      <c r="G17" s="11" t="s">
        <v>29</v>
      </c>
      <c r="H17" s="11" t="s">
        <v>139</v>
      </c>
      <c r="I17" s="11" t="s">
        <v>140</v>
      </c>
      <c r="J17" s="14">
        <v>48.4</v>
      </c>
      <c r="K17" s="14">
        <v>69.400000000000006</v>
      </c>
      <c r="L17" s="14">
        <v>14.4</v>
      </c>
      <c r="M17" s="14">
        <v>132.19999999999999</v>
      </c>
      <c r="N17" s="11">
        <v>67</v>
      </c>
      <c r="O17" s="11">
        <v>56</v>
      </c>
      <c r="P17" s="11">
        <v>108</v>
      </c>
      <c r="Q17" s="11">
        <v>123</v>
      </c>
      <c r="R17" s="11">
        <v>354</v>
      </c>
      <c r="S17" s="17">
        <f t="shared" si="0"/>
        <v>486.2</v>
      </c>
      <c r="T17" s="17"/>
      <c r="U17" s="17"/>
      <c r="V17" s="18"/>
      <c r="W17" s="18"/>
    </row>
    <row r="18" spans="1:23" s="2" customFormat="1" ht="30" customHeight="1" x14ac:dyDescent="0.15">
      <c r="A18" s="10" t="s">
        <v>141</v>
      </c>
      <c r="B18" s="11" t="s">
        <v>24</v>
      </c>
      <c r="C18" s="11" t="s">
        <v>25</v>
      </c>
      <c r="D18" s="11" t="s">
        <v>111</v>
      </c>
      <c r="E18" s="11" t="s">
        <v>93</v>
      </c>
      <c r="F18" s="11" t="s">
        <v>28</v>
      </c>
      <c r="G18" s="11" t="s">
        <v>29</v>
      </c>
      <c r="H18" s="11" t="s">
        <v>142</v>
      </c>
      <c r="I18" s="11" t="s">
        <v>143</v>
      </c>
      <c r="J18" s="19">
        <v>25.6</v>
      </c>
      <c r="K18" s="19">
        <v>79.5</v>
      </c>
      <c r="L18" s="19">
        <v>21.6</v>
      </c>
      <c r="M18" s="19">
        <v>126.7</v>
      </c>
      <c r="N18" s="20">
        <v>64</v>
      </c>
      <c r="O18" s="20">
        <v>71</v>
      </c>
      <c r="P18" s="20">
        <v>108</v>
      </c>
      <c r="Q18" s="20">
        <v>114</v>
      </c>
      <c r="R18" s="20">
        <v>357</v>
      </c>
      <c r="S18" s="22">
        <f t="shared" si="0"/>
        <v>483.7</v>
      </c>
      <c r="T18" s="17"/>
      <c r="U18" s="22"/>
      <c r="V18" s="23"/>
      <c r="W18" s="24" t="s">
        <v>100</v>
      </c>
    </row>
    <row r="19" spans="1:23" s="2" customFormat="1" ht="30" customHeight="1" x14ac:dyDescent="0.15">
      <c r="A19" s="10" t="s">
        <v>144</v>
      </c>
      <c r="B19" s="11" t="s">
        <v>24</v>
      </c>
      <c r="C19" s="11" t="s">
        <v>25</v>
      </c>
      <c r="D19" s="11" t="s">
        <v>111</v>
      </c>
      <c r="E19" s="11" t="s">
        <v>93</v>
      </c>
      <c r="F19" s="11" t="s">
        <v>28</v>
      </c>
      <c r="G19" s="11" t="s">
        <v>29</v>
      </c>
      <c r="H19" s="11" t="s">
        <v>145</v>
      </c>
      <c r="I19" s="11" t="s">
        <v>146</v>
      </c>
      <c r="J19" s="14">
        <v>41.2</v>
      </c>
      <c r="K19" s="14">
        <v>76.3</v>
      </c>
      <c r="L19" s="14">
        <v>18</v>
      </c>
      <c r="M19" s="14">
        <v>135.5</v>
      </c>
      <c r="N19" s="11">
        <v>67</v>
      </c>
      <c r="O19" s="11">
        <v>73</v>
      </c>
      <c r="P19" s="11">
        <v>95</v>
      </c>
      <c r="Q19" s="11">
        <v>113</v>
      </c>
      <c r="R19" s="11">
        <v>348</v>
      </c>
      <c r="S19" s="17">
        <f t="shared" si="0"/>
        <v>483.5</v>
      </c>
      <c r="T19" s="17"/>
      <c r="U19" s="17"/>
      <c r="V19" s="18"/>
      <c r="W19" s="18"/>
    </row>
    <row r="20" spans="1:23" s="2" customFormat="1" ht="30" customHeight="1" x14ac:dyDescent="0.15">
      <c r="A20" s="10" t="s">
        <v>147</v>
      </c>
      <c r="B20" s="11" t="s">
        <v>24</v>
      </c>
      <c r="C20" s="11" t="s">
        <v>25</v>
      </c>
      <c r="D20" s="11" t="s">
        <v>111</v>
      </c>
      <c r="E20" s="11" t="s">
        <v>93</v>
      </c>
      <c r="F20" s="11" t="s">
        <v>28</v>
      </c>
      <c r="G20" s="11" t="s">
        <v>29</v>
      </c>
      <c r="H20" s="11" t="s">
        <v>148</v>
      </c>
      <c r="I20" s="11" t="s">
        <v>149</v>
      </c>
      <c r="J20" s="19">
        <v>34.6</v>
      </c>
      <c r="K20" s="19">
        <v>71</v>
      </c>
      <c r="L20" s="19">
        <v>19.600000000000001</v>
      </c>
      <c r="M20" s="19">
        <v>125.2</v>
      </c>
      <c r="N20" s="20">
        <v>58</v>
      </c>
      <c r="O20" s="20">
        <v>72</v>
      </c>
      <c r="P20" s="20">
        <v>109</v>
      </c>
      <c r="Q20" s="20">
        <v>118</v>
      </c>
      <c r="R20" s="20">
        <v>357</v>
      </c>
      <c r="S20" s="22">
        <f t="shared" si="0"/>
        <v>482.2</v>
      </c>
      <c r="T20" s="17"/>
      <c r="U20" s="22"/>
      <c r="V20" s="23"/>
      <c r="W20" s="24" t="s">
        <v>100</v>
      </c>
    </row>
    <row r="21" spans="1:23" s="2" customFormat="1" ht="30" customHeight="1" x14ac:dyDescent="0.15">
      <c r="A21" s="10" t="s">
        <v>150</v>
      </c>
      <c r="B21" s="11" t="s">
        <v>24</v>
      </c>
      <c r="C21" s="11" t="s">
        <v>25</v>
      </c>
      <c r="D21" s="11" t="s">
        <v>111</v>
      </c>
      <c r="E21" s="11" t="s">
        <v>93</v>
      </c>
      <c r="F21" s="11" t="s">
        <v>28</v>
      </c>
      <c r="G21" s="11" t="s">
        <v>29</v>
      </c>
      <c r="H21" s="11" t="s">
        <v>151</v>
      </c>
      <c r="I21" s="11" t="s">
        <v>152</v>
      </c>
      <c r="J21" s="19">
        <v>41</v>
      </c>
      <c r="K21" s="19">
        <v>67.400000000000006</v>
      </c>
      <c r="L21" s="19">
        <v>16.399999999999999</v>
      </c>
      <c r="M21" s="19">
        <v>124.8</v>
      </c>
      <c r="N21" s="20">
        <v>66</v>
      </c>
      <c r="O21" s="20">
        <v>72</v>
      </c>
      <c r="P21" s="20">
        <v>115</v>
      </c>
      <c r="Q21" s="20">
        <v>103</v>
      </c>
      <c r="R21" s="20">
        <v>356</v>
      </c>
      <c r="S21" s="22">
        <f t="shared" si="0"/>
        <v>480.8</v>
      </c>
      <c r="T21" s="17"/>
      <c r="U21" s="22"/>
      <c r="V21" s="23"/>
      <c r="W21" s="24" t="s">
        <v>100</v>
      </c>
    </row>
    <row r="22" spans="1:23" s="2" customFormat="1" ht="30" customHeight="1" x14ac:dyDescent="0.15">
      <c r="A22" s="10" t="s">
        <v>153</v>
      </c>
      <c r="B22" s="11" t="s">
        <v>24</v>
      </c>
      <c r="C22" s="11" t="s">
        <v>25</v>
      </c>
      <c r="D22" s="11" t="s">
        <v>111</v>
      </c>
      <c r="E22" s="11" t="s">
        <v>93</v>
      </c>
      <c r="F22" s="11" t="s">
        <v>28</v>
      </c>
      <c r="G22" s="11" t="s">
        <v>29</v>
      </c>
      <c r="H22" s="11" t="s">
        <v>154</v>
      </c>
      <c r="I22" s="11" t="s">
        <v>155</v>
      </c>
      <c r="J22" s="14">
        <v>34.4</v>
      </c>
      <c r="K22" s="14">
        <v>75.900000000000006</v>
      </c>
      <c r="L22" s="14">
        <v>21</v>
      </c>
      <c r="M22" s="14">
        <v>131.30000000000001</v>
      </c>
      <c r="N22" s="11">
        <v>72</v>
      </c>
      <c r="O22" s="11">
        <v>77</v>
      </c>
      <c r="P22" s="11">
        <v>77</v>
      </c>
      <c r="Q22" s="11">
        <v>122</v>
      </c>
      <c r="R22" s="11">
        <v>348</v>
      </c>
      <c r="S22" s="17">
        <f t="shared" si="0"/>
        <v>479.3</v>
      </c>
      <c r="T22" s="17"/>
      <c r="U22" s="17"/>
      <c r="V22" s="18"/>
      <c r="W22" s="18"/>
    </row>
    <row r="23" spans="1:23" s="2" customFormat="1" ht="30" customHeight="1" x14ac:dyDescent="0.15">
      <c r="A23" s="10" t="s">
        <v>156</v>
      </c>
      <c r="B23" s="11" t="s">
        <v>24</v>
      </c>
      <c r="C23" s="11" t="s">
        <v>25</v>
      </c>
      <c r="D23" s="11" t="s">
        <v>111</v>
      </c>
      <c r="E23" s="11" t="s">
        <v>93</v>
      </c>
      <c r="F23" s="11" t="s">
        <v>28</v>
      </c>
      <c r="G23" s="11" t="s">
        <v>29</v>
      </c>
      <c r="H23" s="11" t="s">
        <v>157</v>
      </c>
      <c r="I23" s="11" t="s">
        <v>158</v>
      </c>
      <c r="J23" s="19">
        <v>14.01092</v>
      </c>
      <c r="K23" s="19">
        <v>81.663647999999995</v>
      </c>
      <c r="L23" s="19">
        <v>19.214976</v>
      </c>
      <c r="M23" s="19">
        <v>114.889544</v>
      </c>
      <c r="N23" s="20">
        <v>72</v>
      </c>
      <c r="O23" s="20">
        <v>69</v>
      </c>
      <c r="P23" s="20">
        <v>110</v>
      </c>
      <c r="Q23" s="20">
        <v>113</v>
      </c>
      <c r="R23" s="20">
        <v>364</v>
      </c>
      <c r="S23" s="22">
        <f t="shared" si="0"/>
        <v>478.889544</v>
      </c>
      <c r="T23" s="17"/>
      <c r="U23" s="22"/>
      <c r="V23" s="23"/>
      <c r="W23" s="24" t="s">
        <v>100</v>
      </c>
    </row>
    <row r="24" spans="1:23" s="2" customFormat="1" ht="30" customHeight="1" x14ac:dyDescent="0.15">
      <c r="A24" s="10" t="s">
        <v>159</v>
      </c>
      <c r="B24" s="11" t="s">
        <v>24</v>
      </c>
      <c r="C24" s="11" t="s">
        <v>25</v>
      </c>
      <c r="D24" s="11" t="s">
        <v>111</v>
      </c>
      <c r="E24" s="11" t="s">
        <v>93</v>
      </c>
      <c r="F24" s="11" t="s">
        <v>28</v>
      </c>
      <c r="G24" s="11" t="s">
        <v>29</v>
      </c>
      <c r="H24" s="11" t="s">
        <v>160</v>
      </c>
      <c r="I24" s="11" t="s">
        <v>161</v>
      </c>
      <c r="J24" s="19">
        <v>6.0046799999999996</v>
      </c>
      <c r="K24" s="19">
        <v>79.061620000000005</v>
      </c>
      <c r="L24" s="19">
        <v>17.413571999999998</v>
      </c>
      <c r="M24" s="19">
        <v>102.479872</v>
      </c>
      <c r="N24" s="20">
        <v>71</v>
      </c>
      <c r="O24" s="20">
        <v>72</v>
      </c>
      <c r="P24" s="20">
        <v>117</v>
      </c>
      <c r="Q24" s="20">
        <v>116</v>
      </c>
      <c r="R24" s="20">
        <v>376</v>
      </c>
      <c r="S24" s="22">
        <f t="shared" si="0"/>
        <v>478.479872</v>
      </c>
      <c r="T24" s="17"/>
      <c r="U24" s="22"/>
      <c r="V24" s="23"/>
      <c r="W24" s="24" t="s">
        <v>100</v>
      </c>
    </row>
    <row r="25" spans="1:23" s="2" customFormat="1" ht="30" customHeight="1" x14ac:dyDescent="0.15">
      <c r="A25" s="10" t="s">
        <v>162</v>
      </c>
      <c r="B25" s="11" t="s">
        <v>24</v>
      </c>
      <c r="C25" s="11" t="s">
        <v>25</v>
      </c>
      <c r="D25" s="11" t="s">
        <v>111</v>
      </c>
      <c r="E25" s="11" t="s">
        <v>93</v>
      </c>
      <c r="F25" s="11" t="s">
        <v>28</v>
      </c>
      <c r="G25" s="11" t="s">
        <v>29</v>
      </c>
      <c r="H25" s="11" t="s">
        <v>163</v>
      </c>
      <c r="I25" s="11" t="s">
        <v>164</v>
      </c>
      <c r="J25" s="19">
        <v>40</v>
      </c>
      <c r="K25" s="19">
        <v>66</v>
      </c>
      <c r="L25" s="19">
        <v>19.8</v>
      </c>
      <c r="M25" s="19">
        <v>125.8</v>
      </c>
      <c r="N25" s="20">
        <v>66</v>
      </c>
      <c r="O25" s="20">
        <v>59</v>
      </c>
      <c r="P25" s="20">
        <v>100</v>
      </c>
      <c r="Q25" s="20">
        <v>125</v>
      </c>
      <c r="R25" s="20">
        <v>350</v>
      </c>
      <c r="S25" s="22">
        <f t="shared" si="0"/>
        <v>475.8</v>
      </c>
      <c r="T25" s="17"/>
      <c r="U25" s="22"/>
      <c r="V25" s="23"/>
      <c r="W25" s="24" t="s">
        <v>100</v>
      </c>
    </row>
    <row r="26" spans="1:23" s="2" customFormat="1" ht="30" customHeight="1" x14ac:dyDescent="0.15">
      <c r="A26" s="10" t="s">
        <v>165</v>
      </c>
      <c r="B26" s="11" t="s">
        <v>24</v>
      </c>
      <c r="C26" s="11" t="s">
        <v>25</v>
      </c>
      <c r="D26" s="11" t="s">
        <v>111</v>
      </c>
      <c r="E26" s="11" t="s">
        <v>93</v>
      </c>
      <c r="F26" s="11" t="s">
        <v>28</v>
      </c>
      <c r="G26" s="11" t="s">
        <v>29</v>
      </c>
      <c r="H26" s="11" t="s">
        <v>166</v>
      </c>
      <c r="I26" s="11" t="s">
        <v>167</v>
      </c>
      <c r="J26" s="19">
        <v>9.4073320000000002</v>
      </c>
      <c r="K26" s="19">
        <v>78.260996000000006</v>
      </c>
      <c r="L26" s="19">
        <v>20.215755999999999</v>
      </c>
      <c r="M26" s="19">
        <v>107.884084</v>
      </c>
      <c r="N26" s="20">
        <v>68</v>
      </c>
      <c r="O26" s="20">
        <v>67</v>
      </c>
      <c r="P26" s="20">
        <v>103</v>
      </c>
      <c r="Q26" s="20">
        <v>125</v>
      </c>
      <c r="R26" s="20">
        <v>363</v>
      </c>
      <c r="S26" s="22">
        <f t="shared" si="0"/>
        <v>470.88408400000003</v>
      </c>
      <c r="T26" s="17"/>
      <c r="U26" s="22"/>
      <c r="V26" s="23"/>
      <c r="W26" s="24" t="s">
        <v>100</v>
      </c>
    </row>
    <row r="27" spans="1:23" s="2" customFormat="1" ht="30" customHeight="1" x14ac:dyDescent="0.15">
      <c r="A27" s="10" t="s">
        <v>168</v>
      </c>
      <c r="B27" s="11" t="s">
        <v>24</v>
      </c>
      <c r="C27" s="11" t="s">
        <v>25</v>
      </c>
      <c r="D27" s="11" t="s">
        <v>111</v>
      </c>
      <c r="E27" s="11" t="s">
        <v>93</v>
      </c>
      <c r="F27" s="11" t="s">
        <v>28</v>
      </c>
      <c r="G27" s="11" t="s">
        <v>29</v>
      </c>
      <c r="H27" s="11" t="s">
        <v>169</v>
      </c>
      <c r="I27" s="11" t="s">
        <v>170</v>
      </c>
      <c r="J27" s="19">
        <v>14.2</v>
      </c>
      <c r="K27" s="19">
        <v>74.7</v>
      </c>
      <c r="L27" s="19">
        <v>16.399999999999999</v>
      </c>
      <c r="M27" s="19">
        <v>105.3</v>
      </c>
      <c r="N27" s="20">
        <v>76</v>
      </c>
      <c r="O27" s="20">
        <v>70</v>
      </c>
      <c r="P27" s="20">
        <v>93</v>
      </c>
      <c r="Q27" s="20">
        <v>117</v>
      </c>
      <c r="R27" s="20">
        <v>356</v>
      </c>
      <c r="S27" s="22">
        <f t="shared" si="0"/>
        <v>461.3</v>
      </c>
      <c r="T27" s="17"/>
      <c r="U27" s="22"/>
      <c r="V27" s="23"/>
      <c r="W27" s="24" t="s">
        <v>100</v>
      </c>
    </row>
    <row r="28" spans="1:23" s="2" customFormat="1" ht="30" customHeight="1" x14ac:dyDescent="0.15">
      <c r="A28" s="10" t="s">
        <v>171</v>
      </c>
      <c r="B28" s="11" t="s">
        <v>24</v>
      </c>
      <c r="C28" s="11" t="s">
        <v>25</v>
      </c>
      <c r="D28" s="11" t="s">
        <v>111</v>
      </c>
      <c r="E28" s="11" t="s">
        <v>93</v>
      </c>
      <c r="F28" s="11" t="s">
        <v>28</v>
      </c>
      <c r="G28" s="11" t="s">
        <v>29</v>
      </c>
      <c r="H28" s="11" t="s">
        <v>172</v>
      </c>
      <c r="I28" s="11" t="s">
        <v>173</v>
      </c>
      <c r="J28" s="19">
        <v>7.6</v>
      </c>
      <c r="K28" s="19">
        <v>71.900000000000006</v>
      </c>
      <c r="L28" s="19">
        <v>20</v>
      </c>
      <c r="M28" s="19">
        <v>99.5</v>
      </c>
      <c r="N28" s="20">
        <v>59</v>
      </c>
      <c r="O28" s="20">
        <v>71</v>
      </c>
      <c r="P28" s="20">
        <v>97</v>
      </c>
      <c r="Q28" s="20">
        <v>132</v>
      </c>
      <c r="R28" s="20">
        <v>359</v>
      </c>
      <c r="S28" s="22">
        <f t="shared" si="0"/>
        <v>458.5</v>
      </c>
      <c r="T28" s="17"/>
      <c r="U28" s="22"/>
      <c r="V28" s="23"/>
      <c r="W28" s="24" t="s">
        <v>100</v>
      </c>
    </row>
    <row r="29" spans="1:23" s="2" customFormat="1" ht="30" customHeight="1" x14ac:dyDescent="0.15">
      <c r="A29" s="10" t="s">
        <v>174</v>
      </c>
      <c r="B29" s="11" t="s">
        <v>24</v>
      </c>
      <c r="C29" s="11" t="s">
        <v>25</v>
      </c>
      <c r="D29" s="11" t="s">
        <v>111</v>
      </c>
      <c r="E29" s="11" t="s">
        <v>93</v>
      </c>
      <c r="F29" s="11" t="s">
        <v>28</v>
      </c>
      <c r="G29" s="11" t="s">
        <v>29</v>
      </c>
      <c r="H29" s="11" t="s">
        <v>175</v>
      </c>
      <c r="I29" s="11" t="s">
        <v>176</v>
      </c>
      <c r="J29" s="19">
        <v>8</v>
      </c>
      <c r="K29" s="19">
        <v>75.900000000000006</v>
      </c>
      <c r="L29" s="19">
        <v>20</v>
      </c>
      <c r="M29" s="19">
        <v>103.9</v>
      </c>
      <c r="N29" s="20">
        <v>75</v>
      </c>
      <c r="O29" s="20">
        <v>65</v>
      </c>
      <c r="P29" s="20">
        <v>107</v>
      </c>
      <c r="Q29" s="20">
        <v>106</v>
      </c>
      <c r="R29" s="20">
        <v>353</v>
      </c>
      <c r="S29" s="22">
        <f t="shared" si="0"/>
        <v>456.9</v>
      </c>
      <c r="T29" s="17"/>
      <c r="U29" s="22"/>
      <c r="V29" s="23"/>
      <c r="W29" s="24" t="s">
        <v>100</v>
      </c>
    </row>
    <row r="30" spans="1:23" s="2" customFormat="1" ht="30" customHeight="1" x14ac:dyDescent="0.15">
      <c r="A30" s="10" t="s">
        <v>177</v>
      </c>
      <c r="B30" s="11" t="s">
        <v>24</v>
      </c>
      <c r="C30" s="11" t="s">
        <v>25</v>
      </c>
      <c r="D30" s="11" t="s">
        <v>111</v>
      </c>
      <c r="E30" s="11" t="s">
        <v>93</v>
      </c>
      <c r="F30" s="11" t="s">
        <v>28</v>
      </c>
      <c r="G30" s="11" t="s">
        <v>29</v>
      </c>
      <c r="H30" s="11" t="s">
        <v>178</v>
      </c>
      <c r="I30" s="11" t="s">
        <v>179</v>
      </c>
      <c r="J30" s="19">
        <v>16.2</v>
      </c>
      <c r="K30" s="19">
        <v>68.2</v>
      </c>
      <c r="L30" s="19">
        <v>14.8</v>
      </c>
      <c r="M30" s="19">
        <v>99.2</v>
      </c>
      <c r="N30" s="20">
        <v>74</v>
      </c>
      <c r="O30" s="20">
        <v>73</v>
      </c>
      <c r="P30" s="20">
        <v>106</v>
      </c>
      <c r="Q30" s="20">
        <v>99</v>
      </c>
      <c r="R30" s="20">
        <v>352</v>
      </c>
      <c r="S30" s="22">
        <f t="shared" si="0"/>
        <v>451.2</v>
      </c>
      <c r="T30" s="17"/>
      <c r="U30" s="22"/>
      <c r="V30" s="23"/>
      <c r="W30" s="24" t="s">
        <v>100</v>
      </c>
    </row>
    <row r="31" spans="1:23" s="2" customFormat="1" ht="30" customHeight="1" x14ac:dyDescent="0.15">
      <c r="A31" s="10" t="s">
        <v>180</v>
      </c>
      <c r="B31" s="11" t="s">
        <v>24</v>
      </c>
      <c r="C31" s="11" t="s">
        <v>25</v>
      </c>
      <c r="D31" s="11" t="s">
        <v>111</v>
      </c>
      <c r="E31" s="11" t="s">
        <v>93</v>
      </c>
      <c r="F31" s="11" t="s">
        <v>28</v>
      </c>
      <c r="G31" s="11" t="s">
        <v>29</v>
      </c>
      <c r="H31" s="11" t="s">
        <v>181</v>
      </c>
      <c r="I31" s="11" t="s">
        <v>182</v>
      </c>
      <c r="J31" s="19">
        <v>2</v>
      </c>
      <c r="K31" s="19">
        <v>67.400000000000006</v>
      </c>
      <c r="L31" s="19">
        <v>13.4</v>
      </c>
      <c r="M31" s="19">
        <v>82.8</v>
      </c>
      <c r="N31" s="20">
        <v>63</v>
      </c>
      <c r="O31" s="20">
        <v>60</v>
      </c>
      <c r="P31" s="20">
        <v>99</v>
      </c>
      <c r="Q31" s="20">
        <v>128</v>
      </c>
      <c r="R31" s="20">
        <v>350</v>
      </c>
      <c r="S31" s="22">
        <f t="shared" si="0"/>
        <v>432.8</v>
      </c>
      <c r="T31" s="17"/>
      <c r="U31" s="22"/>
      <c r="V31" s="23"/>
      <c r="W31" s="24" t="s">
        <v>100</v>
      </c>
    </row>
    <row r="32" spans="1:23" s="2" customFormat="1" ht="30" customHeight="1" x14ac:dyDescent="0.15">
      <c r="A32" s="10" t="s">
        <v>183</v>
      </c>
      <c r="B32" s="11" t="s">
        <v>24</v>
      </c>
      <c r="C32" s="11" t="s">
        <v>25</v>
      </c>
      <c r="D32" s="11" t="s">
        <v>111</v>
      </c>
      <c r="E32" s="11" t="s">
        <v>93</v>
      </c>
      <c r="F32" s="11" t="s">
        <v>28</v>
      </c>
      <c r="G32" s="11" t="s">
        <v>29</v>
      </c>
      <c r="H32" s="11" t="s">
        <v>184</v>
      </c>
      <c r="I32" s="11" t="s">
        <v>185</v>
      </c>
      <c r="J32" s="19">
        <v>0</v>
      </c>
      <c r="K32" s="19">
        <v>0</v>
      </c>
      <c r="L32" s="19">
        <v>0</v>
      </c>
      <c r="M32" s="19">
        <v>0</v>
      </c>
      <c r="N32" s="20">
        <v>64</v>
      </c>
      <c r="O32" s="20">
        <v>73</v>
      </c>
      <c r="P32" s="20">
        <v>131</v>
      </c>
      <c r="Q32" s="20">
        <v>109</v>
      </c>
      <c r="R32" s="20">
        <v>377</v>
      </c>
      <c r="S32" s="22">
        <f t="shared" si="0"/>
        <v>377</v>
      </c>
      <c r="T32" s="17"/>
      <c r="U32" s="22"/>
      <c r="V32" s="23"/>
      <c r="W32" s="24" t="s">
        <v>100</v>
      </c>
    </row>
    <row r="33" spans="1:23" s="2" customFormat="1" ht="30" customHeight="1" x14ac:dyDescent="0.15">
      <c r="A33" s="10" t="s">
        <v>186</v>
      </c>
      <c r="B33" s="11" t="s">
        <v>24</v>
      </c>
      <c r="C33" s="11" t="s">
        <v>25</v>
      </c>
      <c r="D33" s="11" t="s">
        <v>111</v>
      </c>
      <c r="E33" s="11" t="s">
        <v>93</v>
      </c>
      <c r="F33" s="11" t="s">
        <v>28</v>
      </c>
      <c r="G33" s="11" t="s">
        <v>29</v>
      </c>
      <c r="H33" s="11" t="s">
        <v>187</v>
      </c>
      <c r="I33" s="11" t="s">
        <v>188</v>
      </c>
      <c r="J33" s="19">
        <v>0</v>
      </c>
      <c r="K33" s="19">
        <v>0</v>
      </c>
      <c r="L33" s="19">
        <v>0</v>
      </c>
      <c r="M33" s="19">
        <v>0</v>
      </c>
      <c r="N33" s="20">
        <v>66</v>
      </c>
      <c r="O33" s="20">
        <v>67</v>
      </c>
      <c r="P33" s="20">
        <v>110</v>
      </c>
      <c r="Q33" s="20">
        <v>121</v>
      </c>
      <c r="R33" s="20">
        <v>364</v>
      </c>
      <c r="S33" s="22">
        <f t="shared" si="0"/>
        <v>364</v>
      </c>
      <c r="T33" s="17"/>
      <c r="U33" s="22"/>
      <c r="V33" s="23"/>
      <c r="W33" s="24" t="s">
        <v>100</v>
      </c>
    </row>
    <row r="34" spans="1:23" s="2" customFormat="1" ht="30" customHeight="1" x14ac:dyDescent="0.15">
      <c r="A34" s="10" t="s">
        <v>189</v>
      </c>
      <c r="B34" s="11" t="s">
        <v>24</v>
      </c>
      <c r="C34" s="11" t="s">
        <v>25</v>
      </c>
      <c r="D34" s="11" t="s">
        <v>111</v>
      </c>
      <c r="E34" s="11" t="s">
        <v>93</v>
      </c>
      <c r="F34" s="11" t="s">
        <v>28</v>
      </c>
      <c r="G34" s="11" t="s">
        <v>29</v>
      </c>
      <c r="H34" s="11" t="s">
        <v>190</v>
      </c>
      <c r="I34" s="11" t="s">
        <v>191</v>
      </c>
      <c r="J34" s="19">
        <v>0</v>
      </c>
      <c r="K34" s="19">
        <v>0</v>
      </c>
      <c r="L34" s="19">
        <v>0</v>
      </c>
      <c r="M34" s="19">
        <v>0</v>
      </c>
      <c r="N34" s="20">
        <v>74</v>
      </c>
      <c r="O34" s="20">
        <v>82</v>
      </c>
      <c r="P34" s="20">
        <v>95</v>
      </c>
      <c r="Q34" s="20">
        <v>99</v>
      </c>
      <c r="R34" s="20">
        <v>350</v>
      </c>
      <c r="S34" s="22">
        <f t="shared" si="0"/>
        <v>350</v>
      </c>
      <c r="T34" s="17"/>
      <c r="U34" s="22"/>
      <c r="V34" s="23"/>
      <c r="W34" s="24" t="s">
        <v>100</v>
      </c>
    </row>
    <row r="35" spans="1:23" s="2" customFormat="1" ht="30" customHeight="1" x14ac:dyDescent="0.15">
      <c r="A35" s="10" t="s">
        <v>35</v>
      </c>
      <c r="B35" s="11" t="s">
        <v>24</v>
      </c>
      <c r="C35" s="11" t="s">
        <v>25</v>
      </c>
      <c r="D35" s="11" t="s">
        <v>26</v>
      </c>
      <c r="E35" s="11" t="s">
        <v>27</v>
      </c>
      <c r="F35" s="11" t="s">
        <v>28</v>
      </c>
      <c r="G35" s="11" t="s">
        <v>29</v>
      </c>
      <c r="H35" s="11" t="s">
        <v>36</v>
      </c>
      <c r="I35" s="11" t="s">
        <v>37</v>
      </c>
      <c r="J35" s="14">
        <v>84</v>
      </c>
      <c r="K35" s="14">
        <v>84.2</v>
      </c>
      <c r="L35" s="14">
        <v>22.8</v>
      </c>
      <c r="M35" s="14">
        <v>191</v>
      </c>
      <c r="N35" s="11">
        <v>58</v>
      </c>
      <c r="O35" s="11">
        <v>67</v>
      </c>
      <c r="P35" s="11">
        <v>95</v>
      </c>
      <c r="Q35" s="11">
        <v>118</v>
      </c>
      <c r="R35" s="11">
        <v>338</v>
      </c>
      <c r="S35" s="17">
        <f t="shared" si="0"/>
        <v>529</v>
      </c>
      <c r="T35" s="17"/>
      <c r="U35" s="17"/>
      <c r="V35" s="18"/>
      <c r="W35" s="21" t="s">
        <v>96</v>
      </c>
    </row>
    <row r="36" spans="1:23" s="2" customFormat="1" ht="30" customHeight="1" x14ac:dyDescent="0.15">
      <c r="A36" s="10" t="s">
        <v>80</v>
      </c>
      <c r="B36" s="11" t="s">
        <v>24</v>
      </c>
      <c r="C36" s="11" t="s">
        <v>25</v>
      </c>
      <c r="D36" s="11" t="s">
        <v>26</v>
      </c>
      <c r="E36" s="11" t="s">
        <v>27</v>
      </c>
      <c r="F36" s="11" t="s">
        <v>28</v>
      </c>
      <c r="G36" s="11" t="s">
        <v>29</v>
      </c>
      <c r="H36" s="11" t="s">
        <v>81</v>
      </c>
      <c r="I36" s="11" t="s">
        <v>82</v>
      </c>
      <c r="J36" s="14">
        <v>45</v>
      </c>
      <c r="K36" s="14">
        <v>75.400000000000006</v>
      </c>
      <c r="L36" s="14">
        <v>19.600000000000001</v>
      </c>
      <c r="M36" s="14">
        <v>140</v>
      </c>
      <c r="N36" s="11">
        <v>74</v>
      </c>
      <c r="O36" s="11">
        <v>69</v>
      </c>
      <c r="P36" s="11">
        <v>109</v>
      </c>
      <c r="Q36" s="11">
        <v>116</v>
      </c>
      <c r="R36" s="11">
        <v>368</v>
      </c>
      <c r="S36" s="17">
        <f t="shared" si="0"/>
        <v>508</v>
      </c>
      <c r="T36" s="17"/>
      <c r="U36" s="17"/>
      <c r="V36" s="18"/>
      <c r="W36" s="21" t="s">
        <v>96</v>
      </c>
    </row>
    <row r="37" spans="1:23" s="2" customFormat="1" ht="30" customHeight="1" x14ac:dyDescent="0.15">
      <c r="A37" s="10" t="s">
        <v>71</v>
      </c>
      <c r="B37" s="11" t="s">
        <v>24</v>
      </c>
      <c r="C37" s="11" t="s">
        <v>25</v>
      </c>
      <c r="D37" s="11" t="s">
        <v>26</v>
      </c>
      <c r="E37" s="11" t="s">
        <v>27</v>
      </c>
      <c r="F37" s="11" t="s">
        <v>28</v>
      </c>
      <c r="G37" s="11" t="s">
        <v>29</v>
      </c>
      <c r="H37" s="11" t="s">
        <v>72</v>
      </c>
      <c r="I37" s="11" t="s">
        <v>73</v>
      </c>
      <c r="J37" s="14">
        <v>70.2</v>
      </c>
      <c r="K37" s="14">
        <v>80</v>
      </c>
      <c r="L37" s="14">
        <v>19</v>
      </c>
      <c r="M37" s="14">
        <v>169.2</v>
      </c>
      <c r="N37" s="11">
        <v>62</v>
      </c>
      <c r="O37" s="11">
        <v>64</v>
      </c>
      <c r="P37" s="11">
        <v>117</v>
      </c>
      <c r="Q37" s="11">
        <v>94</v>
      </c>
      <c r="R37" s="11">
        <v>337</v>
      </c>
      <c r="S37" s="17">
        <f t="shared" si="0"/>
        <v>506.2</v>
      </c>
      <c r="T37" s="17"/>
      <c r="U37" s="17"/>
      <c r="V37" s="18"/>
      <c r="W37" s="21" t="s">
        <v>96</v>
      </c>
    </row>
    <row r="38" spans="1:23" s="2" customFormat="1" ht="30" customHeight="1" x14ac:dyDescent="0.15">
      <c r="A38" s="10" t="s">
        <v>50</v>
      </c>
      <c r="B38" s="11" t="s">
        <v>24</v>
      </c>
      <c r="C38" s="11" t="s">
        <v>25</v>
      </c>
      <c r="D38" s="11" t="s">
        <v>26</v>
      </c>
      <c r="E38" s="11" t="s">
        <v>27</v>
      </c>
      <c r="F38" s="11" t="s">
        <v>28</v>
      </c>
      <c r="G38" s="11" t="s">
        <v>29</v>
      </c>
      <c r="H38" s="11" t="s">
        <v>51</v>
      </c>
      <c r="I38" s="11" t="s">
        <v>52</v>
      </c>
      <c r="J38" s="14">
        <v>59</v>
      </c>
      <c r="K38" s="14">
        <v>75.599999999999994</v>
      </c>
      <c r="L38" s="14">
        <v>18</v>
      </c>
      <c r="M38" s="14">
        <v>152.6</v>
      </c>
      <c r="N38" s="11">
        <v>73</v>
      </c>
      <c r="O38" s="11">
        <v>72</v>
      </c>
      <c r="P38" s="11">
        <v>86</v>
      </c>
      <c r="Q38" s="11">
        <v>117</v>
      </c>
      <c r="R38" s="11">
        <v>348</v>
      </c>
      <c r="S38" s="17">
        <f t="shared" si="0"/>
        <v>500.6</v>
      </c>
      <c r="T38" s="17"/>
      <c r="U38" s="17"/>
      <c r="V38" s="18"/>
      <c r="W38" s="21" t="s">
        <v>96</v>
      </c>
    </row>
    <row r="39" spans="1:23" s="2" customFormat="1" ht="30" customHeight="1" x14ac:dyDescent="0.15">
      <c r="A39" s="10" t="s">
        <v>32</v>
      </c>
      <c r="B39" s="11" t="s">
        <v>24</v>
      </c>
      <c r="C39" s="11" t="s">
        <v>25</v>
      </c>
      <c r="D39" s="11" t="s">
        <v>26</v>
      </c>
      <c r="E39" s="11" t="s">
        <v>27</v>
      </c>
      <c r="F39" s="11" t="s">
        <v>28</v>
      </c>
      <c r="G39" s="11" t="s">
        <v>29</v>
      </c>
      <c r="H39" s="11" t="s">
        <v>33</v>
      </c>
      <c r="I39" s="11" t="s">
        <v>34</v>
      </c>
      <c r="J39" s="14">
        <v>59</v>
      </c>
      <c r="K39" s="14">
        <v>75.599999999999994</v>
      </c>
      <c r="L39" s="14">
        <v>22.2</v>
      </c>
      <c r="M39" s="14">
        <v>156.80000000000001</v>
      </c>
      <c r="N39" s="11">
        <v>65</v>
      </c>
      <c r="O39" s="11">
        <v>75</v>
      </c>
      <c r="P39" s="11">
        <v>89</v>
      </c>
      <c r="Q39" s="11">
        <v>112</v>
      </c>
      <c r="R39" s="11">
        <v>341</v>
      </c>
      <c r="S39" s="17">
        <f t="shared" si="0"/>
        <v>497.8</v>
      </c>
      <c r="T39" s="17"/>
      <c r="U39" s="17"/>
      <c r="V39" s="18"/>
      <c r="W39" s="21" t="s">
        <v>96</v>
      </c>
    </row>
    <row r="40" spans="1:23" s="2" customFormat="1" ht="30" customHeight="1" x14ac:dyDescent="0.15">
      <c r="A40" s="10" t="s">
        <v>38</v>
      </c>
      <c r="B40" s="11" t="s">
        <v>24</v>
      </c>
      <c r="C40" s="11" t="s">
        <v>25</v>
      </c>
      <c r="D40" s="11" t="s">
        <v>26</v>
      </c>
      <c r="E40" s="11" t="s">
        <v>27</v>
      </c>
      <c r="F40" s="11" t="s">
        <v>28</v>
      </c>
      <c r="G40" s="11" t="s">
        <v>29</v>
      </c>
      <c r="H40" s="11" t="s">
        <v>39</v>
      </c>
      <c r="I40" s="11" t="s">
        <v>40</v>
      </c>
      <c r="J40" s="14">
        <v>56</v>
      </c>
      <c r="K40" s="14">
        <v>77.8</v>
      </c>
      <c r="L40" s="14">
        <v>21.8</v>
      </c>
      <c r="M40" s="14">
        <v>155.6</v>
      </c>
      <c r="N40" s="11">
        <v>70</v>
      </c>
      <c r="O40" s="11">
        <v>72</v>
      </c>
      <c r="P40" s="11">
        <v>110</v>
      </c>
      <c r="Q40" s="11">
        <v>88</v>
      </c>
      <c r="R40" s="11">
        <v>340</v>
      </c>
      <c r="S40" s="17">
        <f t="shared" si="0"/>
        <v>495.6</v>
      </c>
      <c r="T40" s="17"/>
      <c r="U40" s="17"/>
      <c r="V40" s="18"/>
      <c r="W40" s="18"/>
    </row>
    <row r="41" spans="1:23" s="2" customFormat="1" ht="30" customHeight="1" x14ac:dyDescent="0.15">
      <c r="A41" s="10" t="s">
        <v>68</v>
      </c>
      <c r="B41" s="11" t="s">
        <v>24</v>
      </c>
      <c r="C41" s="11" t="s">
        <v>25</v>
      </c>
      <c r="D41" s="11" t="s">
        <v>26</v>
      </c>
      <c r="E41" s="11" t="s">
        <v>27</v>
      </c>
      <c r="F41" s="11" t="s">
        <v>28</v>
      </c>
      <c r="G41" s="11" t="s">
        <v>29</v>
      </c>
      <c r="H41" s="11" t="s">
        <v>69</v>
      </c>
      <c r="I41" s="11" t="s">
        <v>70</v>
      </c>
      <c r="J41" s="14">
        <v>46.2</v>
      </c>
      <c r="K41" s="14">
        <v>78</v>
      </c>
      <c r="L41" s="14">
        <v>23.8</v>
      </c>
      <c r="M41" s="14">
        <v>148</v>
      </c>
      <c r="N41" s="11">
        <v>66</v>
      </c>
      <c r="O41" s="11">
        <v>66</v>
      </c>
      <c r="P41" s="11">
        <v>121</v>
      </c>
      <c r="Q41" s="11">
        <v>93</v>
      </c>
      <c r="R41" s="11">
        <v>346</v>
      </c>
      <c r="S41" s="17">
        <f t="shared" si="0"/>
        <v>494</v>
      </c>
      <c r="T41" s="17"/>
      <c r="U41" s="17"/>
      <c r="V41" s="18"/>
      <c r="W41" s="18"/>
    </row>
    <row r="42" spans="1:23" s="2" customFormat="1" ht="30" customHeight="1" x14ac:dyDescent="0.15">
      <c r="A42" s="10" t="s">
        <v>86</v>
      </c>
      <c r="B42" s="11" t="s">
        <v>24</v>
      </c>
      <c r="C42" s="11" t="s">
        <v>25</v>
      </c>
      <c r="D42" s="11" t="s">
        <v>26</v>
      </c>
      <c r="E42" s="11" t="s">
        <v>27</v>
      </c>
      <c r="F42" s="11" t="s">
        <v>28</v>
      </c>
      <c r="G42" s="11" t="s">
        <v>29</v>
      </c>
      <c r="H42" s="11" t="s">
        <v>87</v>
      </c>
      <c r="I42" s="11" t="s">
        <v>88</v>
      </c>
      <c r="J42" s="14">
        <v>48.8</v>
      </c>
      <c r="K42" s="14">
        <v>77.400000000000006</v>
      </c>
      <c r="L42" s="14">
        <v>23.2</v>
      </c>
      <c r="M42" s="14">
        <v>149.4</v>
      </c>
      <c r="N42" s="11">
        <v>76</v>
      </c>
      <c r="O42" s="11">
        <v>76</v>
      </c>
      <c r="P42" s="11">
        <v>94</v>
      </c>
      <c r="Q42" s="11">
        <v>94</v>
      </c>
      <c r="R42" s="11">
        <v>340</v>
      </c>
      <c r="S42" s="17">
        <f t="shared" si="0"/>
        <v>489.4</v>
      </c>
      <c r="T42" s="17"/>
      <c r="U42" s="17"/>
      <c r="V42" s="18"/>
      <c r="W42" s="18"/>
    </row>
    <row r="43" spans="1:23" s="2" customFormat="1" ht="30" customHeight="1" x14ac:dyDescent="0.15">
      <c r="A43" s="10" t="s">
        <v>59</v>
      </c>
      <c r="B43" s="11" t="s">
        <v>24</v>
      </c>
      <c r="C43" s="11" t="s">
        <v>25</v>
      </c>
      <c r="D43" s="11" t="s">
        <v>26</v>
      </c>
      <c r="E43" s="11" t="s">
        <v>27</v>
      </c>
      <c r="F43" s="11" t="s">
        <v>28</v>
      </c>
      <c r="G43" s="11" t="s">
        <v>29</v>
      </c>
      <c r="H43" s="11" t="s">
        <v>60</v>
      </c>
      <c r="I43" s="11" t="s">
        <v>61</v>
      </c>
      <c r="J43" s="14">
        <v>50.6</v>
      </c>
      <c r="K43" s="14">
        <v>76.2</v>
      </c>
      <c r="L43" s="14">
        <v>19.8</v>
      </c>
      <c r="M43" s="14">
        <v>146.6</v>
      </c>
      <c r="N43" s="11">
        <v>65</v>
      </c>
      <c r="O43" s="11">
        <v>72</v>
      </c>
      <c r="P43" s="11">
        <v>93</v>
      </c>
      <c r="Q43" s="11">
        <v>111</v>
      </c>
      <c r="R43" s="11">
        <v>341</v>
      </c>
      <c r="S43" s="17">
        <f t="shared" si="0"/>
        <v>487.6</v>
      </c>
      <c r="T43" s="17"/>
      <c r="U43" s="17"/>
      <c r="V43" s="18"/>
      <c r="W43" s="18"/>
    </row>
    <row r="44" spans="1:23" s="2" customFormat="1" ht="30" customHeight="1" x14ac:dyDescent="0.15">
      <c r="A44" s="10" t="s">
        <v>77</v>
      </c>
      <c r="B44" s="11" t="s">
        <v>24</v>
      </c>
      <c r="C44" s="11" t="s">
        <v>25</v>
      </c>
      <c r="D44" s="11" t="s">
        <v>26</v>
      </c>
      <c r="E44" s="11" t="s">
        <v>27</v>
      </c>
      <c r="F44" s="11" t="s">
        <v>28</v>
      </c>
      <c r="G44" s="11" t="s">
        <v>29</v>
      </c>
      <c r="H44" s="11" t="s">
        <v>78</v>
      </c>
      <c r="I44" s="11" t="s">
        <v>79</v>
      </c>
      <c r="J44" s="14">
        <v>30</v>
      </c>
      <c r="K44" s="14">
        <v>77</v>
      </c>
      <c r="L44" s="14">
        <v>23</v>
      </c>
      <c r="M44" s="14">
        <v>130</v>
      </c>
      <c r="N44" s="11">
        <v>72</v>
      </c>
      <c r="O44" s="11">
        <v>66</v>
      </c>
      <c r="P44" s="11">
        <v>95</v>
      </c>
      <c r="Q44" s="11">
        <v>122</v>
      </c>
      <c r="R44" s="11">
        <v>355</v>
      </c>
      <c r="S44" s="17">
        <f t="shared" si="0"/>
        <v>485</v>
      </c>
      <c r="T44" s="17"/>
      <c r="U44" s="17"/>
      <c r="V44" s="18"/>
      <c r="W44" s="18"/>
    </row>
    <row r="45" spans="1:23" s="2" customFormat="1" ht="30" customHeight="1" x14ac:dyDescent="0.15">
      <c r="A45" s="10" t="s">
        <v>23</v>
      </c>
      <c r="B45" s="11" t="s">
        <v>24</v>
      </c>
      <c r="C45" s="11" t="s">
        <v>25</v>
      </c>
      <c r="D45" s="11" t="s">
        <v>26</v>
      </c>
      <c r="E45" s="11" t="s">
        <v>27</v>
      </c>
      <c r="F45" s="11" t="s">
        <v>28</v>
      </c>
      <c r="G45" s="11" t="s">
        <v>29</v>
      </c>
      <c r="H45" s="11" t="s">
        <v>30</v>
      </c>
      <c r="I45" s="11" t="s">
        <v>31</v>
      </c>
      <c r="J45" s="14">
        <v>38.6</v>
      </c>
      <c r="K45" s="14">
        <v>79.599999999999994</v>
      </c>
      <c r="L45" s="14">
        <v>21.8</v>
      </c>
      <c r="M45" s="14">
        <v>140</v>
      </c>
      <c r="N45" s="11">
        <v>66</v>
      </c>
      <c r="O45" s="11">
        <v>62</v>
      </c>
      <c r="P45" s="11">
        <v>88</v>
      </c>
      <c r="Q45" s="11">
        <v>128</v>
      </c>
      <c r="R45" s="11">
        <v>344</v>
      </c>
      <c r="S45" s="17">
        <f t="shared" si="0"/>
        <v>484</v>
      </c>
      <c r="T45" s="17"/>
      <c r="U45" s="17"/>
      <c r="V45" s="18"/>
      <c r="W45" s="18"/>
    </row>
    <row r="46" spans="1:23" s="2" customFormat="1" ht="30" customHeight="1" x14ac:dyDescent="0.15">
      <c r="A46" s="10" t="s">
        <v>56</v>
      </c>
      <c r="B46" s="11" t="s">
        <v>24</v>
      </c>
      <c r="C46" s="11" t="s">
        <v>25</v>
      </c>
      <c r="D46" s="11" t="s">
        <v>26</v>
      </c>
      <c r="E46" s="11" t="s">
        <v>27</v>
      </c>
      <c r="F46" s="11" t="s">
        <v>28</v>
      </c>
      <c r="G46" s="11" t="s">
        <v>29</v>
      </c>
      <c r="H46" s="11" t="s">
        <v>57</v>
      </c>
      <c r="I46" s="11" t="s">
        <v>58</v>
      </c>
      <c r="J46" s="14">
        <v>38.799999999999997</v>
      </c>
      <c r="K46" s="14">
        <v>79.400000000000006</v>
      </c>
      <c r="L46" s="14">
        <v>23.6</v>
      </c>
      <c r="M46" s="14">
        <v>141.80000000000001</v>
      </c>
      <c r="N46" s="11">
        <v>67</v>
      </c>
      <c r="O46" s="11">
        <v>71</v>
      </c>
      <c r="P46" s="11">
        <v>95</v>
      </c>
      <c r="Q46" s="11">
        <v>108</v>
      </c>
      <c r="R46" s="11">
        <v>341</v>
      </c>
      <c r="S46" s="17">
        <f t="shared" si="0"/>
        <v>482.8</v>
      </c>
      <c r="T46" s="17"/>
      <c r="U46" s="17"/>
      <c r="V46" s="18"/>
      <c r="W46" s="18"/>
    </row>
    <row r="47" spans="1:23" s="2" customFormat="1" ht="30" customHeight="1" x14ac:dyDescent="0.15">
      <c r="A47" s="10" t="s">
        <v>53</v>
      </c>
      <c r="B47" s="11" t="s">
        <v>24</v>
      </c>
      <c r="C47" s="11" t="s">
        <v>25</v>
      </c>
      <c r="D47" s="11" t="s">
        <v>26</v>
      </c>
      <c r="E47" s="11" t="s">
        <v>27</v>
      </c>
      <c r="F47" s="11" t="s">
        <v>28</v>
      </c>
      <c r="G47" s="11" t="s">
        <v>29</v>
      </c>
      <c r="H47" s="11" t="s">
        <v>54</v>
      </c>
      <c r="I47" s="11" t="s">
        <v>55</v>
      </c>
      <c r="J47" s="14">
        <v>49</v>
      </c>
      <c r="K47" s="14">
        <v>68.400000000000006</v>
      </c>
      <c r="L47" s="14">
        <v>16.8</v>
      </c>
      <c r="M47" s="14">
        <v>134.19999999999999</v>
      </c>
      <c r="N47" s="11">
        <v>75</v>
      </c>
      <c r="O47" s="11">
        <v>74</v>
      </c>
      <c r="P47" s="11">
        <v>98</v>
      </c>
      <c r="Q47" s="11">
        <v>97</v>
      </c>
      <c r="R47" s="11">
        <v>344</v>
      </c>
      <c r="S47" s="17">
        <f t="shared" si="0"/>
        <v>478.2</v>
      </c>
      <c r="T47" s="17"/>
      <c r="U47" s="17"/>
      <c r="V47" s="18"/>
      <c r="W47" s="18"/>
    </row>
    <row r="48" spans="1:23" s="2" customFormat="1" ht="30" customHeight="1" x14ac:dyDescent="0.15">
      <c r="A48" s="10" t="s">
        <v>62</v>
      </c>
      <c r="B48" s="11" t="s">
        <v>24</v>
      </c>
      <c r="C48" s="11" t="s">
        <v>25</v>
      </c>
      <c r="D48" s="11" t="s">
        <v>26</v>
      </c>
      <c r="E48" s="11" t="s">
        <v>27</v>
      </c>
      <c r="F48" s="11" t="s">
        <v>28</v>
      </c>
      <c r="G48" s="11" t="s">
        <v>29</v>
      </c>
      <c r="H48" s="11" t="s">
        <v>63</v>
      </c>
      <c r="I48" s="11" t="s">
        <v>64</v>
      </c>
      <c r="J48" s="19">
        <v>38.4</v>
      </c>
      <c r="K48" s="19">
        <v>67.2</v>
      </c>
      <c r="L48" s="19">
        <v>20.6</v>
      </c>
      <c r="M48" s="19">
        <v>126.2</v>
      </c>
      <c r="N48" s="20">
        <v>72</v>
      </c>
      <c r="O48" s="20">
        <v>76</v>
      </c>
      <c r="P48" s="20">
        <v>90</v>
      </c>
      <c r="Q48" s="20">
        <v>101</v>
      </c>
      <c r="R48" s="20">
        <v>339</v>
      </c>
      <c r="S48" s="22">
        <f t="shared" si="0"/>
        <v>465.2</v>
      </c>
      <c r="T48" s="17"/>
      <c r="U48" s="22"/>
      <c r="V48" s="23"/>
      <c r="W48" s="24" t="s">
        <v>100</v>
      </c>
    </row>
    <row r="49" spans="1:23" s="2" customFormat="1" ht="30" customHeight="1" x14ac:dyDescent="0.15">
      <c r="A49" s="10" t="s">
        <v>41</v>
      </c>
      <c r="B49" s="11" t="s">
        <v>24</v>
      </c>
      <c r="C49" s="11" t="s">
        <v>25</v>
      </c>
      <c r="D49" s="11" t="s">
        <v>26</v>
      </c>
      <c r="E49" s="11" t="s">
        <v>27</v>
      </c>
      <c r="F49" s="11" t="s">
        <v>28</v>
      </c>
      <c r="G49" s="11" t="s">
        <v>29</v>
      </c>
      <c r="H49" s="11" t="s">
        <v>42</v>
      </c>
      <c r="I49" s="11" t="s">
        <v>43</v>
      </c>
      <c r="J49" s="19">
        <v>18.399999999999999</v>
      </c>
      <c r="K49" s="19">
        <v>75</v>
      </c>
      <c r="L49" s="19">
        <v>16.600000000000001</v>
      </c>
      <c r="M49" s="19">
        <v>110</v>
      </c>
      <c r="N49" s="20">
        <v>72</v>
      </c>
      <c r="O49" s="20">
        <v>69</v>
      </c>
      <c r="P49" s="20">
        <v>85</v>
      </c>
      <c r="Q49" s="20">
        <v>122</v>
      </c>
      <c r="R49" s="20">
        <v>348</v>
      </c>
      <c r="S49" s="22">
        <f t="shared" si="0"/>
        <v>458</v>
      </c>
      <c r="T49" s="17"/>
      <c r="U49" s="22"/>
      <c r="V49" s="23"/>
      <c r="W49" s="24" t="s">
        <v>100</v>
      </c>
    </row>
    <row r="50" spans="1:23" s="2" customFormat="1" ht="30" customHeight="1" x14ac:dyDescent="0.15">
      <c r="A50" s="10" t="s">
        <v>44</v>
      </c>
      <c r="B50" s="11" t="s">
        <v>24</v>
      </c>
      <c r="C50" s="11" t="s">
        <v>25</v>
      </c>
      <c r="D50" s="11" t="s">
        <v>26</v>
      </c>
      <c r="E50" s="11" t="s">
        <v>27</v>
      </c>
      <c r="F50" s="11" t="s">
        <v>28</v>
      </c>
      <c r="G50" s="11" t="s">
        <v>29</v>
      </c>
      <c r="H50" s="11" t="s">
        <v>45</v>
      </c>
      <c r="I50" s="11" t="s">
        <v>46</v>
      </c>
      <c r="J50" s="19">
        <v>26.6</v>
      </c>
      <c r="K50" s="19">
        <v>65.400000000000006</v>
      </c>
      <c r="L50" s="19">
        <v>19.8</v>
      </c>
      <c r="M50" s="19">
        <v>111.8</v>
      </c>
      <c r="N50" s="20">
        <v>65</v>
      </c>
      <c r="O50" s="20">
        <v>62</v>
      </c>
      <c r="P50" s="20">
        <v>112</v>
      </c>
      <c r="Q50" s="20">
        <v>98</v>
      </c>
      <c r="R50" s="20">
        <v>337</v>
      </c>
      <c r="S50" s="22">
        <f t="shared" si="0"/>
        <v>448.8</v>
      </c>
      <c r="T50" s="17"/>
      <c r="U50" s="22"/>
      <c r="V50" s="23"/>
      <c r="W50" s="24" t="s">
        <v>100</v>
      </c>
    </row>
    <row r="51" spans="1:23" s="2" customFormat="1" ht="30" customHeight="1" x14ac:dyDescent="0.15">
      <c r="A51" s="10" t="s">
        <v>65</v>
      </c>
      <c r="B51" s="11" t="s">
        <v>24</v>
      </c>
      <c r="C51" s="11" t="s">
        <v>25</v>
      </c>
      <c r="D51" s="11" t="s">
        <v>26</v>
      </c>
      <c r="E51" s="11" t="s">
        <v>27</v>
      </c>
      <c r="F51" s="11" t="s">
        <v>28</v>
      </c>
      <c r="G51" s="11" t="s">
        <v>29</v>
      </c>
      <c r="H51" s="11" t="s">
        <v>66</v>
      </c>
      <c r="I51" s="11" t="s">
        <v>67</v>
      </c>
      <c r="J51" s="19">
        <v>6</v>
      </c>
      <c r="K51" s="19">
        <v>67</v>
      </c>
      <c r="L51" s="19">
        <v>19.600000000000001</v>
      </c>
      <c r="M51" s="19">
        <v>92.6</v>
      </c>
      <c r="N51" s="20">
        <v>74</v>
      </c>
      <c r="O51" s="20">
        <v>50</v>
      </c>
      <c r="P51" s="20">
        <v>104</v>
      </c>
      <c r="Q51" s="20">
        <v>111</v>
      </c>
      <c r="R51" s="20">
        <v>339</v>
      </c>
      <c r="S51" s="22">
        <f t="shared" si="0"/>
        <v>431.6</v>
      </c>
      <c r="T51" s="17"/>
      <c r="U51" s="22"/>
      <c r="V51" s="23"/>
      <c r="W51" s="24" t="s">
        <v>100</v>
      </c>
    </row>
    <row r="52" spans="1:23" s="2" customFormat="1" ht="30" customHeight="1" x14ac:dyDescent="0.15">
      <c r="A52" s="10" t="s">
        <v>74</v>
      </c>
      <c r="B52" s="11" t="s">
        <v>24</v>
      </c>
      <c r="C52" s="11" t="s">
        <v>25</v>
      </c>
      <c r="D52" s="11" t="s">
        <v>26</v>
      </c>
      <c r="E52" s="11" t="s">
        <v>27</v>
      </c>
      <c r="F52" s="11" t="s">
        <v>28</v>
      </c>
      <c r="G52" s="11" t="s">
        <v>29</v>
      </c>
      <c r="H52" s="11" t="s">
        <v>75</v>
      </c>
      <c r="I52" s="11" t="s">
        <v>76</v>
      </c>
      <c r="J52" s="19">
        <v>0</v>
      </c>
      <c r="K52" s="19">
        <v>62.8</v>
      </c>
      <c r="L52" s="19">
        <v>15</v>
      </c>
      <c r="M52" s="19">
        <v>77.8</v>
      </c>
      <c r="N52" s="20">
        <v>65</v>
      </c>
      <c r="O52" s="20">
        <v>77</v>
      </c>
      <c r="P52" s="20">
        <v>96</v>
      </c>
      <c r="Q52" s="20">
        <v>99</v>
      </c>
      <c r="R52" s="20">
        <v>337</v>
      </c>
      <c r="S52" s="22">
        <f t="shared" si="0"/>
        <v>414.8</v>
      </c>
      <c r="T52" s="17"/>
      <c r="U52" s="22"/>
      <c r="V52" s="23"/>
      <c r="W52" s="24" t="s">
        <v>100</v>
      </c>
    </row>
    <row r="53" spans="1:23" s="2" customFormat="1" ht="30" customHeight="1" x14ac:dyDescent="0.15">
      <c r="A53" s="10" t="s">
        <v>47</v>
      </c>
      <c r="B53" s="11" t="s">
        <v>24</v>
      </c>
      <c r="C53" s="11" t="s">
        <v>25</v>
      </c>
      <c r="D53" s="11" t="s">
        <v>26</v>
      </c>
      <c r="E53" s="11" t="s">
        <v>27</v>
      </c>
      <c r="F53" s="11" t="s">
        <v>28</v>
      </c>
      <c r="G53" s="11" t="s">
        <v>29</v>
      </c>
      <c r="H53" s="11" t="s">
        <v>48</v>
      </c>
      <c r="I53" s="11" t="s">
        <v>49</v>
      </c>
      <c r="J53" s="19">
        <v>0</v>
      </c>
      <c r="K53" s="19">
        <v>0</v>
      </c>
      <c r="L53" s="19">
        <v>0</v>
      </c>
      <c r="M53" s="19">
        <v>0</v>
      </c>
      <c r="N53" s="20">
        <v>72</v>
      </c>
      <c r="O53" s="20">
        <v>75</v>
      </c>
      <c r="P53" s="20">
        <v>98</v>
      </c>
      <c r="Q53" s="20">
        <v>115</v>
      </c>
      <c r="R53" s="20">
        <v>360</v>
      </c>
      <c r="S53" s="22">
        <f t="shared" si="0"/>
        <v>360</v>
      </c>
      <c r="T53" s="17"/>
      <c r="U53" s="22"/>
      <c r="V53" s="23"/>
      <c r="W53" s="24" t="s">
        <v>100</v>
      </c>
    </row>
    <row r="54" spans="1:23" s="2" customFormat="1" ht="30" customHeight="1" x14ac:dyDescent="0.15">
      <c r="A54" s="10" t="s">
        <v>83</v>
      </c>
      <c r="B54" s="11" t="s">
        <v>24</v>
      </c>
      <c r="C54" s="11" t="s">
        <v>25</v>
      </c>
      <c r="D54" s="11" t="s">
        <v>26</v>
      </c>
      <c r="E54" s="11" t="s">
        <v>27</v>
      </c>
      <c r="F54" s="11" t="s">
        <v>28</v>
      </c>
      <c r="G54" s="11" t="s">
        <v>29</v>
      </c>
      <c r="H54" s="11" t="s">
        <v>84</v>
      </c>
      <c r="I54" s="11" t="s">
        <v>85</v>
      </c>
      <c r="J54" s="19">
        <v>0</v>
      </c>
      <c r="K54" s="19">
        <v>0</v>
      </c>
      <c r="L54" s="19">
        <v>0</v>
      </c>
      <c r="M54" s="19">
        <v>0</v>
      </c>
      <c r="N54" s="20">
        <v>68</v>
      </c>
      <c r="O54" s="20">
        <v>77</v>
      </c>
      <c r="P54" s="20">
        <v>88</v>
      </c>
      <c r="Q54" s="20">
        <v>118</v>
      </c>
      <c r="R54" s="20">
        <v>351</v>
      </c>
      <c r="S54" s="22">
        <f t="shared" si="0"/>
        <v>351</v>
      </c>
      <c r="T54" s="17"/>
      <c r="U54" s="22"/>
      <c r="V54" s="23"/>
      <c r="W54" s="24" t="s">
        <v>100</v>
      </c>
    </row>
    <row r="55" spans="1:23" ht="101.45" customHeight="1" x14ac:dyDescent="0.15">
      <c r="A55" s="28" t="s">
        <v>89</v>
      </c>
      <c r="B55" s="28"/>
      <c r="C55" s="28"/>
      <c r="D55" s="28"/>
      <c r="E55" s="28"/>
      <c r="F55" s="28"/>
      <c r="G55" s="28"/>
      <c r="H55" s="28"/>
      <c r="I55" s="28"/>
      <c r="J55" s="28"/>
      <c r="K55" s="28"/>
      <c r="L55" s="28"/>
      <c r="M55" s="28"/>
      <c r="N55" s="28"/>
      <c r="O55" s="28"/>
      <c r="P55" s="28"/>
      <c r="Q55" s="28"/>
      <c r="R55" s="28"/>
      <c r="S55" s="28"/>
      <c r="T55" s="28"/>
      <c r="U55" s="28"/>
      <c r="V55" s="29"/>
      <c r="W55" s="29"/>
    </row>
  </sheetData>
  <sortState ref="A3:W54">
    <sortCondition ref="D3:D54"/>
    <sortCondition descending="1" ref="S3:S54"/>
    <sortCondition descending="1" ref="R3:R54"/>
    <sortCondition descending="1" ref="O3:O54"/>
  </sortState>
  <mergeCells count="2">
    <mergeCell ref="A1:W1"/>
    <mergeCell ref="A55:W55"/>
  </mergeCells>
  <phoneticPr fontId="12" type="noConversion"/>
  <printOptions horizontalCentered="1" verticalCentered="1"/>
  <pageMargins left="0.15748031496063" right="0.15748031496063" top="0.98425196850393704" bottom="0.98425196850393704" header="0.511811023622047" footer="0.511811023622047"/>
  <pageSetup paperSize="9" scale="93"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微软用户</cp:lastModifiedBy>
  <cp:lastPrinted>2024-04-10T00:32:27Z</cp:lastPrinted>
  <dcterms:created xsi:type="dcterms:W3CDTF">2023-03-24T12:11:00Z</dcterms:created>
  <dcterms:modified xsi:type="dcterms:W3CDTF">2024-04-10T06:26:54Z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EC3B02C559D646FDB0745A86F31A60A5_13</vt:lpwstr>
  </property>
  <property fmtid="{D5CDD505-2E9C-101B-9397-08002B2CF9AE}" pid="3" name="KSOProductBuildVer">
    <vt:lpwstr>2052-12.1.0.16388</vt:lpwstr>
  </property>
  <property fmtid="{D5CDD505-2E9C-101B-9397-08002B2CF9AE}" pid="4" name="KSOReadingLayout">
    <vt:bool>true</vt:bool>
  </property>
</Properties>
</file>